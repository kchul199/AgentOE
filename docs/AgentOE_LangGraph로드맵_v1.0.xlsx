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Overview" sheetId="1" state="visible" r:id="rId3"/>
    <sheet name="Sprints" sheetId="2" state="visible" r:id="rId4"/>
    <sheet name="Backlog" sheetId="3" state="visible" r:id="rId5"/>
    <sheet name="Dependencies" sheetId="4" state="visible" r:id="rId6"/>
    <sheet name="Milestones" sheetId="5" state="visible" r:id="rId7"/>
    <sheet name="RACI" sheetId="6" state="visible" r:id="rId8"/>
    <sheet name="Budget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<sst xmlns="http://schemas.openxmlformats.org/spreadsheetml/2006/main" count="858" uniqueCount="378">
  <si>
    <r>
      <rPr>
        <b val="true"/>
        <sz val="18"/>
        <color rgb="FF1F497D"/>
        <rFont val="Arial"/>
        <family val="0"/>
        <charset val="1"/>
      </rPr>
      <t xml:space="preserve">AgentOE — LangGraph Agentic </t>
    </r>
    <r>
      <rPr>
        <b val="true"/>
        <sz val="18"/>
        <color rgb="FF1F497D"/>
        <rFont val="DejaVu Sans"/>
        <family val="2"/>
      </rPr>
      <t xml:space="preserve">전환 로드맵 </t>
    </r>
    <r>
      <rPr>
        <b val="true"/>
        <sz val="18"/>
        <color rgb="FF1F497D"/>
        <rFont val="Arial"/>
        <family val="0"/>
        <charset val="1"/>
      </rPr>
      <t xml:space="preserve">(v1.0)</t>
    </r>
  </si>
  <si>
    <t xml:space="preserve">문서 버전</t>
  </si>
  <si>
    <t xml:space="preserve">1.0</t>
  </si>
  <si>
    <t xml:space="preserve">작성일</t>
  </si>
  <si>
    <t xml:space="preserve">2026-04-18</t>
  </si>
  <si>
    <t xml:space="preserve">대상</t>
  </si>
  <si>
    <r>
      <rPr>
        <sz val="10"/>
        <rFont val="Arial"/>
        <family val="0"/>
        <charset val="1"/>
      </rPr>
      <t xml:space="preserve">AgentOE </t>
    </r>
    <r>
      <rPr>
        <sz val="10"/>
        <rFont val="DejaVu Sans"/>
        <family val="2"/>
      </rPr>
      <t xml:space="preserve">멀티테넌트 </t>
    </r>
    <r>
      <rPr>
        <sz val="10"/>
        <rFont val="Arial"/>
        <family val="0"/>
        <charset val="1"/>
      </rPr>
      <t xml:space="preserve">AI </t>
    </r>
    <r>
      <rPr>
        <sz val="10"/>
        <rFont val="DejaVu Sans"/>
        <family val="2"/>
      </rPr>
      <t xml:space="preserve">콜봇 플랫폼</t>
    </r>
  </si>
  <si>
    <t xml:space="preserve">전환 범위</t>
  </si>
  <si>
    <t xml:space="preserve">AIPipeline → LangGraph StateGraph, Scenario Builder GUI</t>
  </si>
  <si>
    <t xml:space="preserve">기간</t>
  </si>
  <si>
    <r>
      <rPr>
        <sz val="10"/>
        <rFont val="Arial"/>
        <family val="0"/>
        <charset val="1"/>
      </rPr>
      <t xml:space="preserve">16</t>
    </r>
    <r>
      <rPr>
        <sz val="10"/>
        <rFont val="DejaVu Sans"/>
        <family val="2"/>
      </rPr>
      <t xml:space="preserve">주 </t>
    </r>
    <r>
      <rPr>
        <sz val="10"/>
        <rFont val="Arial"/>
        <family val="0"/>
        <charset val="1"/>
      </rPr>
      <t xml:space="preserve">(8 </t>
    </r>
    <r>
      <rPr>
        <sz val="10"/>
        <rFont val="DejaVu Sans"/>
        <family val="2"/>
      </rPr>
      <t xml:space="preserve">스프린트</t>
    </r>
    <r>
      <rPr>
        <sz val="10"/>
        <rFont val="Arial"/>
        <family val="0"/>
        <charset val="1"/>
      </rPr>
      <t xml:space="preserve">, 2w each)</t>
    </r>
  </si>
  <si>
    <t xml:space="preserve">시작</t>
  </si>
  <si>
    <t xml:space="preserve">2026-05-04</t>
  </si>
  <si>
    <r>
      <rPr>
        <b val="true"/>
        <sz val="10"/>
        <rFont val="Arial"/>
        <family val="0"/>
        <charset val="1"/>
      </rPr>
      <t xml:space="preserve">GA </t>
    </r>
    <r>
      <rPr>
        <b val="true"/>
        <sz val="10"/>
        <rFont val="DejaVu Sans"/>
        <family val="2"/>
      </rPr>
      <t xml:space="preserve">목표</t>
    </r>
  </si>
  <si>
    <t xml:space="preserve">2026-08-24</t>
  </si>
  <si>
    <r>
      <rPr>
        <b val="true"/>
        <sz val="11"/>
        <rFont val="DejaVu Sans"/>
        <family val="2"/>
      </rPr>
      <t xml:space="preserve">핵심 </t>
    </r>
    <r>
      <rPr>
        <b val="true"/>
        <sz val="11"/>
        <rFont val="Arial"/>
        <family val="0"/>
        <charset val="1"/>
      </rPr>
      <t xml:space="preserve">KPI</t>
    </r>
  </si>
  <si>
    <t xml:space="preserve">지표</t>
  </si>
  <si>
    <t xml:space="preserve">Baseline</t>
  </si>
  <si>
    <r>
      <rPr>
        <b val="true"/>
        <sz val="14"/>
        <color rgb="FFFFFFFF"/>
        <rFont val="DejaVu Sans"/>
        <family val="2"/>
      </rPr>
      <t xml:space="preserve">목표 </t>
    </r>
    <r>
      <rPr>
        <b val="true"/>
        <sz val="14"/>
        <color rgb="FFFFFFFF"/>
        <rFont val="Arial"/>
        <family val="0"/>
        <charset val="1"/>
      </rPr>
      <t xml:space="preserve">(GA+1Q)</t>
    </r>
  </si>
  <si>
    <t xml:space="preserve">측정 방법</t>
  </si>
  <si>
    <t xml:space="preserve">자동 처리 완료율</t>
  </si>
  <si>
    <t xml:space="preserve">58%</t>
  </si>
  <si>
    <t xml:space="preserve">75%</t>
  </si>
  <si>
    <t xml:space="preserve">통화 종료 사유별 집계</t>
  </si>
  <si>
    <r>
      <rPr>
        <sz val="10"/>
        <rFont val="DejaVu Sans"/>
        <family val="2"/>
      </rPr>
      <t xml:space="preserve">턴 지연 </t>
    </r>
    <r>
      <rPr>
        <sz val="10"/>
        <rFont val="Arial"/>
        <family val="0"/>
        <charset val="1"/>
      </rPr>
      <t xml:space="preserve">p95</t>
    </r>
  </si>
  <si>
    <t xml:space="preserve">1.2s</t>
  </si>
  <si>
    <r>
      <rPr>
        <sz val="10"/>
        <rFont val="Arial"/>
        <family val="0"/>
        <charset val="1"/>
      </rPr>
      <t xml:space="preserve">1.0s </t>
    </r>
    <r>
      <rPr>
        <sz val="10"/>
        <rFont val="DejaVu Sans"/>
        <family val="2"/>
      </rPr>
      <t xml:space="preserve">유지</t>
    </r>
  </si>
  <si>
    <r>
      <rPr>
        <sz val="10"/>
        <rFont val="Arial"/>
        <family val="0"/>
        <charset val="1"/>
      </rPr>
      <t xml:space="preserve">OTel span </t>
    </r>
    <r>
      <rPr>
        <sz val="10"/>
        <rFont val="DejaVu Sans"/>
        <family val="2"/>
      </rPr>
      <t xml:space="preserve">분위수</t>
    </r>
  </si>
  <si>
    <t xml:space="preserve">상담원 전환율</t>
  </si>
  <si>
    <t xml:space="preserve">31%</t>
  </si>
  <si>
    <t xml:space="preserve">18%</t>
  </si>
  <si>
    <r>
      <rPr>
        <sz val="10"/>
        <rFont val="Arial"/>
        <family val="0"/>
        <charset val="1"/>
      </rPr>
      <t xml:space="preserve">VBGW transfer </t>
    </r>
    <r>
      <rPr>
        <sz val="10"/>
        <rFont val="DejaVu Sans"/>
        <family val="2"/>
      </rPr>
      <t xml:space="preserve">이벤트</t>
    </r>
  </si>
  <si>
    <t xml:space="preserve">시나리오 변경 리드타임</t>
  </si>
  <si>
    <r>
      <rPr>
        <sz val="10"/>
        <rFont val="Arial"/>
        <family val="0"/>
        <charset val="1"/>
      </rPr>
      <t xml:space="preserve">2-5</t>
    </r>
    <r>
      <rPr>
        <sz val="10"/>
        <rFont val="DejaVu Sans"/>
        <family val="2"/>
      </rPr>
      <t xml:space="preserve">일 </t>
    </r>
    <r>
      <rPr>
        <sz val="10"/>
        <rFont val="Arial"/>
        <family val="0"/>
        <charset val="1"/>
      </rPr>
      <t xml:space="preserve">(</t>
    </r>
    <r>
      <rPr>
        <sz val="10"/>
        <rFont val="DejaVu Sans"/>
        <family val="2"/>
      </rPr>
      <t xml:space="preserve">개발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</si>
  <si>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30</t>
    </r>
    <r>
      <rPr>
        <sz val="10"/>
        <rFont val="DejaVu Sans"/>
        <family val="2"/>
      </rPr>
      <t xml:space="preserve">분 </t>
    </r>
    <r>
      <rPr>
        <sz val="10"/>
        <rFont val="Arial"/>
        <family val="0"/>
        <charset val="1"/>
      </rPr>
      <t xml:space="preserve">(</t>
    </r>
    <r>
      <rPr>
        <sz val="10"/>
        <rFont val="DejaVu Sans"/>
        <family val="2"/>
      </rPr>
      <t xml:space="preserve">운영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</si>
  <si>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Audit log </t>
    </r>
    <r>
      <rPr>
        <sz val="10"/>
        <rFont val="DejaVu Sans"/>
        <family val="2"/>
      </rPr>
      <t xml:space="preserve">간격</t>
    </r>
  </si>
  <si>
    <t xml:space="preserve">세션 복구 성공률</t>
  </si>
  <si>
    <r>
      <rPr>
        <sz val="10"/>
        <rFont val="Arial"/>
        <family val="0"/>
        <charset val="1"/>
      </rPr>
      <t xml:space="preserve">0% (</t>
    </r>
    <r>
      <rPr>
        <sz val="10"/>
        <rFont val="DejaVu Sans"/>
        <family val="2"/>
      </rPr>
      <t xml:space="preserve">미지원</t>
    </r>
    <r>
      <rPr>
        <sz val="10"/>
        <rFont val="Arial"/>
        <family val="0"/>
        <charset val="1"/>
      </rPr>
      <t xml:space="preserve">)</t>
    </r>
  </si>
  <si>
    <t xml:space="preserve">99.5%</t>
  </si>
  <si>
    <r>
      <rPr>
        <sz val="10"/>
        <rFont val="Arial"/>
        <family val="0"/>
        <charset val="1"/>
      </rPr>
      <t xml:space="preserve">Checkpointer resume / disconnect </t>
    </r>
    <r>
      <rPr>
        <sz val="10"/>
        <rFont val="DejaVu Sans"/>
        <family val="2"/>
      </rPr>
      <t xml:space="preserve">비율</t>
    </r>
  </si>
  <si>
    <t xml:space="preserve">관련 산출물</t>
  </si>
  <si>
    <t xml:space="preserve">파일</t>
  </si>
  <si>
    <t xml:space="preserve">위치</t>
  </si>
  <si>
    <t xml:space="preserve">비고</t>
  </si>
  <si>
    <t xml:space="preserve">전환 기획서</t>
  </si>
  <si>
    <r>
      <rPr>
        <sz val="10"/>
        <rFont val="Arial"/>
        <family val="0"/>
        <charset val="1"/>
      </rPr>
      <t xml:space="preserve">AgentOE_LangGraph</t>
    </r>
    <r>
      <rPr>
        <sz val="10"/>
        <rFont val="DejaVu Sans"/>
        <family val="2"/>
      </rPr>
      <t xml:space="preserve">전환기획서</t>
    </r>
    <r>
      <rPr>
        <sz val="10"/>
        <rFont val="Arial"/>
        <family val="0"/>
        <charset val="1"/>
      </rPr>
      <t xml:space="preserve">_v1.0.docx</t>
    </r>
  </si>
  <si>
    <r>
      <rPr>
        <sz val="10"/>
        <rFont val="DejaVu Sans"/>
        <family val="2"/>
      </rPr>
      <t xml:space="preserve">배경 </t>
    </r>
    <r>
      <rPr>
        <sz val="10"/>
        <rFont val="Arial"/>
        <family val="0"/>
        <charset val="1"/>
      </rPr>
      <t xml:space="preserve">/ </t>
    </r>
    <r>
      <rPr>
        <sz val="10"/>
        <rFont val="DejaVu Sans"/>
        <family val="2"/>
      </rPr>
      <t xml:space="preserve">아키텍처 </t>
    </r>
    <r>
      <rPr>
        <sz val="10"/>
        <rFont val="Arial"/>
        <family val="0"/>
        <charset val="1"/>
      </rPr>
      <t xml:space="preserve">/ </t>
    </r>
    <r>
      <rPr>
        <sz val="10"/>
        <rFont val="DejaVu Sans"/>
        <family val="2"/>
      </rPr>
      <t xml:space="preserve">전략</t>
    </r>
  </si>
  <si>
    <t xml:space="preserve">본 로드맵</t>
  </si>
  <si>
    <r>
      <rPr>
        <sz val="10"/>
        <rFont val="Arial"/>
        <family val="0"/>
        <charset val="1"/>
      </rPr>
      <t xml:space="preserve">AgentOE_LangGraph</t>
    </r>
    <r>
      <rPr>
        <sz val="10"/>
        <rFont val="DejaVu Sans"/>
        <family val="2"/>
      </rPr>
      <t xml:space="preserve">로드맵</t>
    </r>
    <r>
      <rPr>
        <sz val="10"/>
        <rFont val="Arial"/>
        <family val="0"/>
        <charset val="1"/>
      </rPr>
      <t xml:space="preserve">_v1.0.xlsx</t>
    </r>
  </si>
  <si>
    <r>
      <rPr>
        <sz val="10"/>
        <rFont val="DejaVu Sans"/>
        <family val="2"/>
      </rPr>
      <t xml:space="preserve">스프린트</t>
    </r>
    <r>
      <rPr>
        <sz val="10"/>
        <rFont val="Arial"/>
        <family val="0"/>
        <charset val="1"/>
      </rPr>
      <t xml:space="preserve">/</t>
    </r>
    <r>
      <rPr>
        <sz val="10"/>
        <rFont val="DejaVu Sans"/>
        <family val="2"/>
      </rPr>
      <t xml:space="preserve">태스크</t>
    </r>
    <r>
      <rPr>
        <sz val="10"/>
        <rFont val="Arial"/>
        <family val="0"/>
        <charset val="1"/>
      </rPr>
      <t xml:space="preserve">/</t>
    </r>
    <r>
      <rPr>
        <sz val="10"/>
        <rFont val="DejaVu Sans"/>
        <family val="2"/>
      </rPr>
      <t xml:space="preserve">예산</t>
    </r>
  </si>
  <si>
    <r>
      <rPr>
        <sz val="10"/>
        <rFont val="Arial"/>
        <family val="0"/>
        <charset val="1"/>
      </rPr>
      <t xml:space="preserve">UI </t>
    </r>
    <r>
      <rPr>
        <sz val="10"/>
        <rFont val="DejaVu Sans"/>
        <family val="2"/>
      </rPr>
      <t xml:space="preserve">목업</t>
    </r>
  </si>
  <si>
    <t xml:space="preserve">scenario_builder_mockup.html</t>
  </si>
  <si>
    <r>
      <rPr>
        <sz val="10"/>
        <rFont val="Arial"/>
        <family val="0"/>
        <charset val="1"/>
      </rPr>
      <t xml:space="preserve">React Flow </t>
    </r>
    <r>
      <rPr>
        <sz val="10"/>
        <rFont val="DejaVu Sans"/>
        <family val="2"/>
      </rPr>
      <t xml:space="preserve">프로토타입</t>
    </r>
  </si>
  <si>
    <r>
      <rPr>
        <sz val="10"/>
        <rFont val="Arial"/>
        <family val="0"/>
        <charset val="1"/>
      </rPr>
      <t xml:space="preserve">PoC </t>
    </r>
    <r>
      <rPr>
        <sz val="10"/>
        <rFont val="DejaVu Sans"/>
        <family val="2"/>
      </rPr>
      <t xml:space="preserve">코드</t>
    </r>
  </si>
  <si>
    <t xml:space="preserve">skeleton/backend/app/agentic/</t>
  </si>
  <si>
    <r>
      <rPr>
        <sz val="10"/>
        <rFont val="Arial"/>
        <family val="0"/>
        <charset val="1"/>
      </rPr>
      <t xml:space="preserve">LangGraph </t>
    </r>
    <r>
      <rPr>
        <sz val="10"/>
        <rFont val="DejaVu Sans"/>
        <family val="2"/>
      </rPr>
      <t xml:space="preserve">스켈레톤</t>
    </r>
  </si>
  <si>
    <t xml:space="preserve">Sprint</t>
  </si>
  <si>
    <t xml:space="preserve">Start</t>
  </si>
  <si>
    <t xml:space="preserve">End</t>
  </si>
  <si>
    <t xml:space="preserve">Theme</t>
  </si>
  <si>
    <t xml:space="preserve">Goals</t>
  </si>
  <si>
    <t xml:space="preserve">Demo</t>
  </si>
  <si>
    <t xml:space="preserve">Effort(PD)</t>
  </si>
  <si>
    <t xml:space="preserve">Team</t>
  </si>
  <si>
    <t xml:space="preserve">S1</t>
  </si>
  <si>
    <t xml:space="preserve">2026-05-17</t>
  </si>
  <si>
    <t xml:space="preserve">Foundation</t>
  </si>
  <si>
    <r>
      <rPr>
        <sz val="10"/>
        <rFont val="Arial"/>
        <family val="0"/>
        <charset val="1"/>
      </rPr>
      <t xml:space="preserve">LangGraph </t>
    </r>
    <r>
      <rPr>
        <sz val="10"/>
        <rFont val="DejaVu Sans"/>
        <family val="2"/>
      </rPr>
      <t xml:space="preserve">의존성 </t>
    </r>
    <r>
      <rPr>
        <sz val="10"/>
        <rFont val="Arial"/>
        <family val="0"/>
        <charset val="1"/>
      </rPr>
      <t xml:space="preserve">/ state.py / DSL </t>
    </r>
    <r>
      <rPr>
        <sz val="10"/>
        <rFont val="DejaVu Sans"/>
        <family val="2"/>
      </rPr>
      <t xml:space="preserve">스키마 </t>
    </r>
    <r>
      <rPr>
        <sz val="10"/>
        <rFont val="Arial"/>
        <family val="0"/>
        <charset val="1"/>
      </rPr>
      <t xml:space="preserve">/ </t>
    </r>
    <r>
      <rPr>
        <sz val="10"/>
        <rFont val="DejaVu Sans"/>
        <family val="2"/>
      </rPr>
      <t xml:space="preserve">단위 테스트 </t>
    </r>
    <r>
      <rPr>
        <sz val="10"/>
        <rFont val="Arial"/>
        <family val="0"/>
        <charset val="1"/>
      </rPr>
      <t xml:space="preserve">50%</t>
    </r>
  </si>
  <si>
    <r>
      <rPr>
        <sz val="10"/>
        <rFont val="Arial"/>
        <family val="0"/>
        <charset val="1"/>
      </rPr>
      <t xml:space="preserve">DSL JSON </t>
    </r>
    <r>
      <rPr>
        <sz val="10"/>
        <rFont val="DejaVu Sans"/>
        <family val="2"/>
      </rPr>
      <t xml:space="preserve">검증 통과</t>
    </r>
  </si>
  <si>
    <t xml:space="preserve">Platform</t>
  </si>
  <si>
    <t xml:space="preserve">S2</t>
  </si>
  <si>
    <t xml:space="preserve">2026-05-18</t>
  </si>
  <si>
    <t xml:space="preserve">2026-05-31</t>
  </si>
  <si>
    <t xml:space="preserve">Compiler + Runtime</t>
  </si>
  <si>
    <t xml:space="preserve">scenario_compiler, CallbotGraphRuntime, Redis Checkpointer</t>
  </si>
  <si>
    <r>
      <rPr>
        <sz val="10"/>
        <rFont val="DejaVu Sans"/>
        <family val="2"/>
      </rPr>
      <t xml:space="preserve">샘플 시나리오 </t>
    </r>
    <r>
      <rPr>
        <sz val="10"/>
        <rFont val="Arial"/>
        <family val="0"/>
        <charset val="1"/>
      </rPr>
      <t xml:space="preserve">E2E </t>
    </r>
    <r>
      <rPr>
        <sz val="10"/>
        <rFont val="DejaVu Sans"/>
        <family val="2"/>
      </rPr>
      <t xml:space="preserve">통과</t>
    </r>
  </si>
  <si>
    <t xml:space="preserve">S3</t>
  </si>
  <si>
    <t xml:space="preserve">2026-06-01</t>
  </si>
  <si>
    <t xml:space="preserve">2026-06-14</t>
  </si>
  <si>
    <t xml:space="preserve">Repository &amp; Router</t>
  </si>
  <si>
    <t xml:space="preserve">MongoDB Scenario Repo, AgenticRouter, REST API skeleton</t>
  </si>
  <si>
    <t xml:space="preserve">테넌트 플래그 기반 라우팅 데모</t>
  </si>
  <si>
    <t xml:space="preserve">Backend</t>
  </si>
  <si>
    <t xml:space="preserve">S4</t>
  </si>
  <si>
    <t xml:space="preserve">2026-06-15</t>
  </si>
  <si>
    <t xml:space="preserve">2026-06-28</t>
  </si>
  <si>
    <t xml:space="preserve">Builder UI MVP</t>
  </si>
  <si>
    <r>
      <rPr>
        <sz val="10"/>
        <rFont val="Arial"/>
        <family val="0"/>
        <charset val="1"/>
      </rPr>
      <t xml:space="preserve">React Flow </t>
    </r>
    <r>
      <rPr>
        <sz val="10"/>
        <rFont val="DejaVu Sans"/>
        <family val="2"/>
      </rPr>
      <t xml:space="preserve">캔버스 </t>
    </r>
    <r>
      <rPr>
        <sz val="10"/>
        <rFont val="Arial"/>
        <family val="0"/>
        <charset val="1"/>
      </rPr>
      <t xml:space="preserve">/ </t>
    </r>
    <r>
      <rPr>
        <sz val="10"/>
        <rFont val="DejaVu Sans"/>
        <family val="2"/>
      </rPr>
      <t xml:space="preserve">노드 팔레트 </t>
    </r>
    <r>
      <rPr>
        <sz val="10"/>
        <rFont val="Arial"/>
        <family val="0"/>
        <charset val="1"/>
      </rPr>
      <t xml:space="preserve">/ </t>
    </r>
    <r>
      <rPr>
        <sz val="10"/>
        <rFont val="DejaVu Sans"/>
        <family val="2"/>
      </rPr>
      <t xml:space="preserve">저장 </t>
    </r>
    <r>
      <rPr>
        <sz val="10"/>
        <rFont val="Arial"/>
        <family val="0"/>
        <charset val="1"/>
      </rPr>
      <t xml:space="preserve">/ Publish</t>
    </r>
  </si>
  <si>
    <r>
      <rPr>
        <sz val="10"/>
        <rFont val="DejaVu Sans"/>
        <family val="2"/>
      </rPr>
      <t xml:space="preserve">운영자 데모 </t>
    </r>
    <r>
      <rPr>
        <sz val="10"/>
        <rFont val="Arial"/>
        <family val="0"/>
        <charset val="1"/>
      </rPr>
      <t xml:space="preserve">1</t>
    </r>
    <r>
      <rPr>
        <sz val="10"/>
        <rFont val="DejaVu Sans"/>
        <family val="2"/>
      </rPr>
      <t xml:space="preserve">차</t>
    </r>
  </si>
  <si>
    <t xml:space="preserve">Frontend</t>
  </si>
  <si>
    <t xml:space="preserve">S5</t>
  </si>
  <si>
    <t xml:space="preserve">2026-06-29</t>
  </si>
  <si>
    <t xml:space="preserve">2026-07-12</t>
  </si>
  <si>
    <t xml:space="preserve">Tools + Dry-run</t>
  </si>
  <si>
    <r>
      <rPr>
        <sz val="10"/>
        <rFont val="Arial"/>
        <family val="0"/>
        <charset val="1"/>
      </rPr>
      <t xml:space="preserve">Tool </t>
    </r>
    <r>
      <rPr>
        <sz val="10"/>
        <rFont val="DejaVu Sans"/>
        <family val="2"/>
      </rPr>
      <t xml:space="preserve">레지스트리</t>
    </r>
    <r>
      <rPr>
        <sz val="10"/>
        <rFont val="Arial"/>
        <family val="0"/>
        <charset val="1"/>
      </rPr>
      <t xml:space="preserve">, MCP </t>
    </r>
    <r>
      <rPr>
        <sz val="10"/>
        <rFont val="DejaVu Sans"/>
        <family val="2"/>
      </rPr>
      <t xml:space="preserve">어댑터</t>
    </r>
    <r>
      <rPr>
        <sz val="10"/>
        <rFont val="Arial"/>
        <family val="0"/>
        <charset val="1"/>
      </rPr>
      <t xml:space="preserve">, Dry-run </t>
    </r>
    <r>
      <rPr>
        <sz val="10"/>
        <rFont val="DejaVu Sans"/>
        <family val="2"/>
      </rPr>
      <t xml:space="preserve">시뮬레이터</t>
    </r>
  </si>
  <si>
    <r>
      <rPr>
        <sz val="10"/>
        <rFont val="DejaVu Sans"/>
        <family val="2"/>
      </rPr>
      <t xml:space="preserve">잔액조회 </t>
    </r>
    <r>
      <rPr>
        <sz val="10"/>
        <rFont val="Arial"/>
        <family val="0"/>
        <charset val="1"/>
      </rPr>
      <t xml:space="preserve">Tool </t>
    </r>
    <r>
      <rPr>
        <sz val="10"/>
        <rFont val="DejaVu Sans"/>
        <family val="2"/>
      </rPr>
      <t xml:space="preserve">시나리오 완주</t>
    </r>
  </si>
  <si>
    <t xml:space="preserve">Platform+FE</t>
  </si>
  <si>
    <t xml:space="preserve">S6</t>
  </si>
  <si>
    <t xml:space="preserve">2026-07-13</t>
  </si>
  <si>
    <t xml:space="preserve">2026-07-26</t>
  </si>
  <si>
    <t xml:space="preserve">Observability + Canary</t>
  </si>
  <si>
    <r>
      <rPr>
        <sz val="10"/>
        <rFont val="Arial"/>
        <family val="0"/>
        <charset val="1"/>
      </rPr>
      <t xml:space="preserve">OTel per-node span, </t>
    </r>
    <r>
      <rPr>
        <sz val="10"/>
        <rFont val="DejaVu Sans"/>
        <family val="2"/>
      </rPr>
      <t xml:space="preserve">비용 쿼터</t>
    </r>
    <r>
      <rPr>
        <sz val="10"/>
        <rFont val="Arial"/>
        <family val="0"/>
        <charset val="1"/>
      </rPr>
      <t xml:space="preserve">, Canary %, A/B</t>
    </r>
  </si>
  <si>
    <r>
      <rPr>
        <sz val="10"/>
        <rFont val="Arial"/>
        <family val="0"/>
        <charset val="1"/>
      </rPr>
      <t xml:space="preserve">Grafana </t>
    </r>
    <r>
      <rPr>
        <sz val="10"/>
        <rFont val="DejaVu Sans"/>
        <family val="2"/>
      </rPr>
      <t xml:space="preserve">대시보드 공개</t>
    </r>
  </si>
  <si>
    <t xml:space="preserve">SRE</t>
  </si>
  <si>
    <t xml:space="preserve">S7</t>
  </si>
  <si>
    <t xml:space="preserve">2026-07-27</t>
  </si>
  <si>
    <t xml:space="preserve">2026-08-09</t>
  </si>
  <si>
    <t xml:space="preserve">Hardening</t>
  </si>
  <si>
    <r>
      <rPr>
        <sz val="10"/>
        <rFont val="DejaVu Sans"/>
        <family val="2"/>
      </rPr>
      <t xml:space="preserve">멀티 테넌트 검증</t>
    </r>
    <r>
      <rPr>
        <sz val="10"/>
        <rFont val="Arial"/>
        <family val="0"/>
        <charset val="1"/>
      </rPr>
      <t xml:space="preserve">, </t>
    </r>
    <r>
      <rPr>
        <sz val="10"/>
        <rFont val="DejaVu Sans"/>
        <family val="2"/>
      </rPr>
      <t xml:space="preserve">보안</t>
    </r>
    <r>
      <rPr>
        <sz val="10"/>
        <rFont val="Arial"/>
        <family val="0"/>
        <charset val="1"/>
      </rPr>
      <t xml:space="preserve">/</t>
    </r>
    <r>
      <rPr>
        <sz val="10"/>
        <rFont val="DejaVu Sans"/>
        <family val="2"/>
      </rPr>
      <t xml:space="preserve">침투</t>
    </r>
    <r>
      <rPr>
        <sz val="10"/>
        <rFont val="Arial"/>
        <family val="0"/>
        <charset val="1"/>
      </rPr>
      <t xml:space="preserve">, </t>
    </r>
    <r>
      <rPr>
        <sz val="10"/>
        <rFont val="DejaVu Sans"/>
        <family val="2"/>
      </rPr>
      <t xml:space="preserve">성능 튜닝 </t>
    </r>
    <r>
      <rPr>
        <sz val="10"/>
        <rFont val="Arial"/>
        <family val="0"/>
        <charset val="1"/>
      </rPr>
      <t xml:space="preserve">(p95 ≤1.0s)</t>
    </r>
  </si>
  <si>
    <t xml:space="preserve">부하테스트 리포트</t>
  </si>
  <si>
    <t xml:space="preserve">Cross</t>
  </si>
  <si>
    <t xml:space="preserve">S8</t>
  </si>
  <si>
    <t xml:space="preserve">2026-08-10</t>
  </si>
  <si>
    <t xml:space="preserve">2026-08-23</t>
  </si>
  <si>
    <t xml:space="preserve">GA Prep</t>
  </si>
  <si>
    <r>
      <rPr>
        <sz val="10"/>
        <rFont val="DejaVu Sans"/>
        <family val="2"/>
      </rPr>
      <t xml:space="preserve">문서화</t>
    </r>
    <r>
      <rPr>
        <sz val="10"/>
        <rFont val="Arial"/>
        <family val="0"/>
        <charset val="1"/>
      </rPr>
      <t xml:space="preserve">, </t>
    </r>
    <r>
      <rPr>
        <sz val="10"/>
        <rFont val="DejaVu Sans"/>
        <family val="2"/>
      </rPr>
      <t xml:space="preserve">마이그레이션 가이드</t>
    </r>
    <r>
      <rPr>
        <sz val="10"/>
        <rFont val="Arial"/>
        <family val="0"/>
        <charset val="1"/>
      </rPr>
      <t xml:space="preserve">, </t>
    </r>
    <r>
      <rPr>
        <sz val="10"/>
        <rFont val="DejaVu Sans"/>
        <family val="2"/>
      </rPr>
      <t xml:space="preserve">운영 </t>
    </r>
    <r>
      <rPr>
        <sz val="10"/>
        <rFont val="Arial"/>
        <family val="0"/>
        <charset val="1"/>
      </rPr>
      <t xml:space="preserve">Runbook, GA </t>
    </r>
    <r>
      <rPr>
        <sz val="10"/>
        <rFont val="DejaVu Sans"/>
        <family val="2"/>
      </rPr>
      <t xml:space="preserve">체크리스트</t>
    </r>
  </si>
  <si>
    <r>
      <rPr>
        <sz val="10"/>
        <rFont val="Arial"/>
        <family val="0"/>
        <charset val="1"/>
      </rPr>
      <t xml:space="preserve">GA </t>
    </r>
    <r>
      <rPr>
        <sz val="10"/>
        <rFont val="DejaVu Sans"/>
        <family val="2"/>
      </rPr>
      <t xml:space="preserve">리허설</t>
    </r>
  </si>
  <si>
    <t xml:space="preserve">합계</t>
  </si>
  <si>
    <t xml:space="preserve">Task ID</t>
  </si>
  <si>
    <t xml:space="preserve">Priority</t>
  </si>
  <si>
    <t xml:space="preserve">Epic</t>
  </si>
  <si>
    <t xml:space="preserve">Title</t>
  </si>
  <si>
    <t xml:space="preserve">Owner</t>
  </si>
  <si>
    <t xml:space="preserve">Status</t>
  </si>
  <si>
    <t xml:space="preserve">Depends</t>
  </si>
  <si>
    <t xml:space="preserve">Risk</t>
  </si>
  <si>
    <t xml:space="preserve">Notes</t>
  </si>
  <si>
    <r>
      <rPr>
        <b val="true"/>
        <sz val="11"/>
        <rFont val="Arial"/>
        <family val="0"/>
        <charset val="1"/>
      </rPr>
      <t xml:space="preserve">Sprint </t>
    </r>
    <r>
      <rPr>
        <b val="true"/>
        <sz val="11"/>
        <rFont val="DejaVu Sans"/>
        <family val="2"/>
      </rPr>
      <t xml:space="preserve">집계</t>
    </r>
  </si>
  <si>
    <t xml:space="preserve">T001</t>
  </si>
  <si>
    <t xml:space="preserve">P0</t>
  </si>
  <si>
    <r>
      <rPr>
        <sz val="10"/>
        <rFont val="Arial"/>
        <family val="0"/>
        <charset val="1"/>
      </rPr>
      <t xml:space="preserve">LangGraph / checkpoint-redis </t>
    </r>
    <r>
      <rPr>
        <sz val="10"/>
        <rFont val="DejaVu Sans"/>
        <family val="2"/>
      </rPr>
      <t xml:space="preserve">의존성 추가</t>
    </r>
    <r>
      <rPr>
        <sz val="10"/>
        <rFont val="Arial"/>
        <family val="0"/>
        <charset val="1"/>
      </rPr>
      <t xml:space="preserve">, lock </t>
    </r>
    <r>
      <rPr>
        <sz val="10"/>
        <rFont val="DejaVu Sans"/>
        <family val="2"/>
      </rPr>
      <t xml:space="preserve">파일 갱신</t>
    </r>
  </si>
  <si>
    <t xml:space="preserve">Planned</t>
  </si>
  <si>
    <t xml:space="preserve">L</t>
  </si>
  <si>
    <r>
      <rPr>
        <sz val="10"/>
        <rFont val="Arial"/>
        <family val="0"/>
        <charset val="1"/>
      </rPr>
      <t xml:space="preserve">0.2.x </t>
    </r>
    <r>
      <rPr>
        <sz val="10"/>
        <rFont val="DejaVu Sans"/>
        <family val="2"/>
      </rPr>
      <t xml:space="preserve">고정</t>
    </r>
  </si>
  <si>
    <t xml:space="preserve">Backlog PD</t>
  </si>
  <si>
    <t xml:space="preserve">Plan PD</t>
  </si>
  <si>
    <t xml:space="preserve">Diff</t>
  </si>
  <si>
    <t xml:space="preserve">T002</t>
  </si>
  <si>
    <r>
      <rPr>
        <sz val="10"/>
        <rFont val="Arial"/>
        <family val="0"/>
        <charset val="1"/>
      </rPr>
      <t xml:space="preserve">state.py (CallbotState) </t>
    </r>
    <r>
      <rPr>
        <sz val="10"/>
        <rFont val="DejaVu Sans"/>
        <family val="2"/>
      </rPr>
      <t xml:space="preserve">확정</t>
    </r>
    <r>
      <rPr>
        <sz val="10"/>
        <rFont val="Arial"/>
        <family val="0"/>
        <charset val="1"/>
      </rPr>
      <t xml:space="preserve">, Reducer </t>
    </r>
    <r>
      <rPr>
        <sz val="10"/>
        <rFont val="DejaVu Sans"/>
        <family val="2"/>
      </rPr>
      <t xml:space="preserve">테스트</t>
    </r>
  </si>
  <si>
    <t xml:space="preserve">T003</t>
  </si>
  <si>
    <r>
      <rPr>
        <sz val="10"/>
        <rFont val="Arial"/>
        <family val="0"/>
        <charset val="1"/>
      </rPr>
      <t xml:space="preserve">scenario_dsl.py Pydantic </t>
    </r>
    <r>
      <rPr>
        <sz val="10"/>
        <rFont val="DejaVu Sans"/>
        <family val="2"/>
      </rPr>
      <t xml:space="preserve">스키마 확정</t>
    </r>
    <r>
      <rPr>
        <sz val="10"/>
        <rFont val="Arial"/>
        <family val="0"/>
        <charset val="1"/>
      </rPr>
      <t xml:space="preserve">, golden JSON 3</t>
    </r>
    <r>
      <rPr>
        <sz val="10"/>
        <rFont val="DejaVu Sans"/>
        <family val="2"/>
      </rPr>
      <t xml:space="preserve">종</t>
    </r>
  </si>
  <si>
    <r>
      <rPr>
        <sz val="10"/>
        <rFont val="Arial"/>
        <family val="0"/>
        <charset val="1"/>
      </rPr>
      <t xml:space="preserve">invalid sample </t>
    </r>
    <r>
      <rPr>
        <sz val="10"/>
        <rFont val="DejaVu Sans"/>
        <family val="2"/>
      </rPr>
      <t xml:space="preserve">포함</t>
    </r>
  </si>
  <si>
    <t xml:space="preserve">T004</t>
  </si>
  <si>
    <r>
      <rPr>
        <sz val="10"/>
        <rFont val="DejaVu Sans"/>
        <family val="2"/>
      </rPr>
      <t xml:space="preserve">노드 인터페이스</t>
    </r>
    <r>
      <rPr>
        <sz val="10"/>
        <rFont val="Arial"/>
        <family val="0"/>
        <charset val="1"/>
      </rPr>
      <t xml:space="preserve">(make_*_node </t>
    </r>
    <r>
      <rPr>
        <sz val="10"/>
        <rFont val="DejaVu Sans"/>
        <family val="2"/>
      </rPr>
      <t xml:space="preserve">시그니처</t>
    </r>
    <r>
      <rPr>
        <sz val="10"/>
        <rFont val="Arial"/>
        <family val="0"/>
        <charset val="1"/>
      </rPr>
      <t xml:space="preserve">) </t>
    </r>
    <r>
      <rPr>
        <sz val="10"/>
        <rFont val="DejaVu Sans"/>
        <family val="2"/>
      </rPr>
      <t xml:space="preserve">고정</t>
    </r>
  </si>
  <si>
    <t xml:space="preserve">T005</t>
  </si>
  <si>
    <t xml:space="preserve">P1</t>
  </si>
  <si>
    <r>
      <rPr>
        <sz val="10"/>
        <rFont val="DejaVu Sans"/>
        <family val="2"/>
      </rPr>
      <t xml:space="preserve">단위 테스트 커버리지 ≥</t>
    </r>
    <r>
      <rPr>
        <sz val="10"/>
        <rFont val="Arial"/>
        <family val="0"/>
        <charset val="1"/>
      </rPr>
      <t xml:space="preserve">50% (agentic/*)</t>
    </r>
  </si>
  <si>
    <t xml:space="preserve">T003,T004</t>
  </si>
  <si>
    <t xml:space="preserve">T006</t>
  </si>
  <si>
    <r>
      <rPr>
        <sz val="10"/>
        <rFont val="DejaVu Sans"/>
        <family val="2"/>
      </rPr>
      <t xml:space="preserve">개발자 문서 초안 </t>
    </r>
    <r>
      <rPr>
        <sz val="10"/>
        <rFont val="Arial"/>
        <family val="0"/>
        <charset val="1"/>
      </rPr>
      <t xml:space="preserve">(agentic/README.md)</t>
    </r>
  </si>
  <si>
    <t xml:space="preserve">T010</t>
  </si>
  <si>
    <t xml:space="preserve">Compiler</t>
  </si>
  <si>
    <t xml:space="preserve">scenario_compiler.py: DSL → StateGraph</t>
  </si>
  <si>
    <t xml:space="preserve">M</t>
  </si>
  <si>
    <r>
      <rPr>
        <sz val="10"/>
        <rFont val="Arial"/>
        <family val="0"/>
        <charset val="1"/>
      </rPr>
      <t xml:space="preserve">dry-run </t>
    </r>
    <r>
      <rPr>
        <sz val="10"/>
        <rFont val="DejaVu Sans"/>
        <family val="2"/>
      </rPr>
      <t xml:space="preserve">포함</t>
    </r>
  </si>
  <si>
    <t xml:space="preserve">T011</t>
  </si>
  <si>
    <r>
      <rPr>
        <sz val="10"/>
        <rFont val="Arial"/>
        <family val="0"/>
        <charset val="1"/>
      </rPr>
      <t xml:space="preserve">Branch conditional edge </t>
    </r>
    <r>
      <rPr>
        <sz val="10"/>
        <rFont val="DejaVu Sans"/>
        <family val="2"/>
      </rPr>
      <t xml:space="preserve">디스패처 완성</t>
    </r>
  </si>
  <si>
    <t xml:space="preserve">T012</t>
  </si>
  <si>
    <t xml:space="preserve">Runtime</t>
  </si>
  <si>
    <t xml:space="preserve">CallbotGraphRuntime: LRU cache, stream_turn, resume</t>
  </si>
  <si>
    <t xml:space="preserve">T013</t>
  </si>
  <si>
    <r>
      <rPr>
        <sz val="10"/>
        <rFont val="Arial"/>
        <family val="0"/>
        <charset val="1"/>
      </rPr>
      <t xml:space="preserve">Redis Checkpointer </t>
    </r>
    <r>
      <rPr>
        <sz val="10"/>
        <rFont val="DejaVu Sans"/>
        <family val="2"/>
      </rPr>
      <t xml:space="preserve">통합 </t>
    </r>
    <r>
      <rPr>
        <sz val="10"/>
        <rFont val="Arial"/>
        <family val="0"/>
        <charset val="1"/>
      </rPr>
      <t xml:space="preserve">(langgraph-checkpoint-redis)</t>
    </r>
  </si>
  <si>
    <r>
      <rPr>
        <sz val="10"/>
        <rFont val="DejaVu Sans"/>
        <family val="2"/>
      </rPr>
      <t xml:space="preserve">세션 </t>
    </r>
    <r>
      <rPr>
        <sz val="10"/>
        <rFont val="Arial"/>
        <family val="0"/>
        <charset val="1"/>
      </rPr>
      <t xml:space="preserve">24h TTL</t>
    </r>
  </si>
  <si>
    <t xml:space="preserve">Total</t>
  </si>
  <si>
    <t xml:space="preserve">T014</t>
  </si>
  <si>
    <r>
      <rPr>
        <sz val="10"/>
        <rFont val="Arial"/>
        <family val="0"/>
        <charset val="1"/>
      </rPr>
      <t xml:space="preserve">LLM </t>
    </r>
    <r>
      <rPr>
        <sz val="10"/>
        <rFont val="DejaVu Sans"/>
        <family val="2"/>
      </rPr>
      <t xml:space="preserve">스트리밍 청크 → </t>
    </r>
    <r>
      <rPr>
        <sz val="10"/>
        <rFont val="Arial"/>
        <family val="0"/>
        <charset val="1"/>
      </rPr>
      <t xml:space="preserve">WS sink </t>
    </r>
    <r>
      <rPr>
        <sz val="10"/>
        <rFont val="DejaVu Sans"/>
        <family val="2"/>
      </rPr>
      <t xml:space="preserve">연동</t>
    </r>
  </si>
  <si>
    <r>
      <rPr>
        <sz val="10"/>
        <rFont val="Arial"/>
        <family val="0"/>
        <charset val="1"/>
      </rPr>
      <t xml:space="preserve">filler </t>
    </r>
    <r>
      <rPr>
        <sz val="10"/>
        <rFont val="DejaVu Sans"/>
        <family val="2"/>
      </rPr>
      <t xml:space="preserve">전파</t>
    </r>
  </si>
  <si>
    <t xml:space="preserve">T015</t>
  </si>
  <si>
    <r>
      <rPr>
        <sz val="10"/>
        <rFont val="Arial"/>
        <family val="0"/>
        <charset val="1"/>
      </rPr>
      <t xml:space="preserve">interrupt_before </t>
    </r>
    <r>
      <rPr>
        <sz val="10"/>
        <rFont val="DejaVu Sans"/>
        <family val="2"/>
      </rPr>
      <t xml:space="preserve">기반 </t>
    </r>
    <r>
      <rPr>
        <sz val="10"/>
        <rFont val="Arial"/>
        <family val="0"/>
        <charset val="1"/>
      </rPr>
      <t xml:space="preserve">Wait </t>
    </r>
    <r>
      <rPr>
        <sz val="10"/>
        <rFont val="DejaVu Sans"/>
        <family val="2"/>
      </rPr>
      <t xml:space="preserve">노드 검증</t>
    </r>
  </si>
  <si>
    <t xml:space="preserve">T016</t>
  </si>
  <si>
    <r>
      <rPr>
        <sz val="10"/>
        <rFont val="DejaVu Sans"/>
        <family val="2"/>
      </rPr>
      <t xml:space="preserve">샘플 시나리오 </t>
    </r>
    <r>
      <rPr>
        <sz val="10"/>
        <rFont val="Arial"/>
        <family val="0"/>
        <charset val="1"/>
      </rPr>
      <t xml:space="preserve">cs_account_v3 E2E </t>
    </r>
    <r>
      <rPr>
        <sz val="10"/>
        <rFont val="DejaVu Sans"/>
        <family val="2"/>
      </rPr>
      <t xml:space="preserve">통과</t>
    </r>
  </si>
  <si>
    <t xml:space="preserve">T014,T015</t>
  </si>
  <si>
    <t xml:space="preserve">T020</t>
  </si>
  <si>
    <t xml:space="preserve">Repository</t>
  </si>
  <si>
    <r>
      <rPr>
        <sz val="10"/>
        <rFont val="Arial"/>
        <family val="0"/>
        <charset val="1"/>
      </rPr>
      <t xml:space="preserve">ScenarioRepository (Mongo CRUD, </t>
    </r>
    <r>
      <rPr>
        <sz val="10"/>
        <rFont val="DejaVu Sans"/>
        <family val="2"/>
      </rPr>
      <t xml:space="preserve">버전 관리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</si>
  <si>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created_by/at </t>
    </r>
    <r>
      <rPr>
        <sz val="10"/>
        <rFont val="DejaVu Sans"/>
        <family val="2"/>
      </rPr>
      <t xml:space="preserve">기록</t>
    </r>
  </si>
  <si>
    <t xml:space="preserve">T021</t>
  </si>
  <si>
    <r>
      <rPr>
        <sz val="10"/>
        <rFont val="Arial"/>
        <family val="0"/>
        <charset val="1"/>
      </rPr>
      <t xml:space="preserve">Publish/Rollback </t>
    </r>
    <r>
      <rPr>
        <sz val="10"/>
        <rFont val="DejaVu Sans"/>
        <family val="2"/>
      </rPr>
      <t xml:space="preserve">트랜잭션 </t>
    </r>
    <r>
      <rPr>
        <sz val="10"/>
        <rFont val="Arial"/>
        <family val="0"/>
        <charset val="1"/>
      </rPr>
      <t xml:space="preserve">(ver++, cache invalidate)</t>
    </r>
  </si>
  <si>
    <t xml:space="preserve">T020,T012</t>
  </si>
  <si>
    <t xml:space="preserve">T022</t>
  </si>
  <si>
    <t xml:space="preserve">API</t>
  </si>
  <si>
    <t xml:space="preserve">REST /api/v1/scenarios CRUD + authz (assert_tenant_ownership)</t>
  </si>
  <si>
    <r>
      <rPr>
        <sz val="10"/>
        <rFont val="Arial"/>
        <family val="0"/>
        <charset val="1"/>
      </rPr>
      <t xml:space="preserve">input </t>
    </r>
    <r>
      <rPr>
        <sz val="10"/>
        <rFont val="DejaVu Sans"/>
        <family val="2"/>
      </rPr>
      <t xml:space="preserve">검증</t>
    </r>
  </si>
  <si>
    <t xml:space="preserve">T023</t>
  </si>
  <si>
    <r>
      <rPr>
        <sz val="10"/>
        <rFont val="Arial"/>
        <family val="0"/>
        <charset val="1"/>
      </rPr>
      <t xml:space="preserve">AgenticRouter: config/canary/flag </t>
    </r>
    <r>
      <rPr>
        <sz val="10"/>
        <rFont val="DejaVu Sans"/>
        <family val="2"/>
      </rPr>
      <t xml:space="preserve">결정 로직</t>
    </r>
  </si>
  <si>
    <t xml:space="preserve">T024</t>
  </si>
  <si>
    <r>
      <rPr>
        <sz val="10"/>
        <rFont val="DejaVu Sans"/>
        <family val="2"/>
      </rPr>
      <t xml:space="preserve">세션 생성 라우터에 </t>
    </r>
    <r>
      <rPr>
        <sz val="10"/>
        <rFont val="Arial"/>
        <family val="0"/>
        <charset val="1"/>
      </rPr>
      <t xml:space="preserve">AgenticRouter </t>
    </r>
    <r>
      <rPr>
        <sz val="10"/>
        <rFont val="DejaVu Sans"/>
        <family val="2"/>
      </rPr>
      <t xml:space="preserve">통합</t>
    </r>
  </si>
  <si>
    <t xml:space="preserve">fail-safe legacy</t>
  </si>
  <si>
    <t xml:space="preserve">T025</t>
  </si>
  <si>
    <r>
      <rPr>
        <sz val="10"/>
        <rFont val="Arial"/>
        <family val="0"/>
        <charset val="1"/>
      </rPr>
      <t xml:space="preserve">Kill-switch ENV + tenant toggle </t>
    </r>
    <r>
      <rPr>
        <sz val="10"/>
        <rFont val="DejaVu Sans"/>
        <family val="2"/>
      </rPr>
      <t xml:space="preserve">엔드포인트</t>
    </r>
  </si>
  <si>
    <t xml:space="preserve">T026</t>
  </si>
  <si>
    <r>
      <rPr>
        <sz val="10"/>
        <rFont val="Arial"/>
        <family val="0"/>
        <charset val="1"/>
      </rPr>
      <t xml:space="preserve">DSL </t>
    </r>
    <r>
      <rPr>
        <sz val="10"/>
        <rFont val="DejaVu Sans"/>
        <family val="2"/>
      </rPr>
      <t xml:space="preserve">유효성 검사 서비스 계층 </t>
    </r>
    <r>
      <rPr>
        <sz val="10"/>
        <rFont val="Arial"/>
        <family val="0"/>
        <charset val="1"/>
      </rPr>
      <t xml:space="preserve">(unreachable, cycle)</t>
    </r>
  </si>
  <si>
    <t xml:space="preserve">T030</t>
  </si>
  <si>
    <t xml:space="preserve">Builder UI</t>
  </si>
  <si>
    <r>
      <rPr>
        <sz val="10"/>
        <rFont val="Arial"/>
        <family val="0"/>
        <charset val="1"/>
      </rPr>
      <t xml:space="preserve">React + Vite + React Flow </t>
    </r>
    <r>
      <rPr>
        <sz val="10"/>
        <rFont val="DejaVu Sans"/>
        <family val="2"/>
      </rPr>
      <t xml:space="preserve">초기 셋업</t>
    </r>
  </si>
  <si>
    <t xml:space="preserve">T031</t>
  </si>
  <si>
    <r>
      <rPr>
        <sz val="10"/>
        <rFont val="DejaVu Sans"/>
        <family val="2"/>
      </rPr>
      <t xml:space="preserve">노드 팔레트</t>
    </r>
    <r>
      <rPr>
        <sz val="10"/>
        <rFont val="Arial"/>
        <family val="0"/>
        <charset val="1"/>
      </rPr>
      <t xml:space="preserve">(Intent/LLM/Tool/Branch/Transfer/Wait/End)</t>
    </r>
  </si>
  <si>
    <t xml:space="preserve">T032</t>
  </si>
  <si>
    <r>
      <rPr>
        <sz val="10"/>
        <rFont val="DejaVu Sans"/>
        <family val="2"/>
      </rPr>
      <t xml:space="preserve">캔버스 </t>
    </r>
    <r>
      <rPr>
        <sz val="10"/>
        <rFont val="Arial"/>
        <family val="0"/>
        <charset val="1"/>
      </rPr>
      <t xml:space="preserve">CRUD (</t>
    </r>
    <r>
      <rPr>
        <sz val="10"/>
        <rFont val="DejaVu Sans"/>
        <family val="2"/>
      </rPr>
      <t xml:space="preserve">드래그</t>
    </r>
    <r>
      <rPr>
        <sz val="10"/>
        <rFont val="Arial"/>
        <family val="0"/>
        <charset val="1"/>
      </rPr>
      <t xml:space="preserve">/</t>
    </r>
    <r>
      <rPr>
        <sz val="10"/>
        <rFont val="DejaVu Sans"/>
        <family val="2"/>
      </rPr>
      <t xml:space="preserve">삭제</t>
    </r>
    <r>
      <rPr>
        <sz val="10"/>
        <rFont val="Arial"/>
        <family val="0"/>
        <charset val="1"/>
      </rPr>
      <t xml:space="preserve">/</t>
    </r>
    <r>
      <rPr>
        <sz val="10"/>
        <rFont val="DejaVu Sans"/>
        <family val="2"/>
      </rPr>
      <t xml:space="preserve">연결</t>
    </r>
    <r>
      <rPr>
        <sz val="10"/>
        <rFont val="Arial"/>
        <family val="0"/>
        <charset val="1"/>
      </rPr>
      <t xml:space="preserve">/</t>
    </r>
    <r>
      <rPr>
        <sz val="10"/>
        <rFont val="DejaVu Sans"/>
        <family val="2"/>
      </rPr>
      <t xml:space="preserve">자동 레이아웃</t>
    </r>
    <r>
      <rPr>
        <sz val="10"/>
        <rFont val="Arial"/>
        <family val="0"/>
        <charset val="1"/>
      </rPr>
      <t xml:space="preserve">)</t>
    </r>
  </si>
  <si>
    <t xml:space="preserve">T033</t>
  </si>
  <si>
    <r>
      <rPr>
        <sz val="10"/>
        <rFont val="Arial"/>
        <family val="0"/>
        <charset val="1"/>
      </rPr>
      <t xml:space="preserve">Inspector </t>
    </r>
    <r>
      <rPr>
        <sz val="10"/>
        <rFont val="DejaVu Sans"/>
        <family val="2"/>
      </rPr>
      <t xml:space="preserve">폼 </t>
    </r>
    <r>
      <rPr>
        <sz val="10"/>
        <rFont val="Arial"/>
        <family val="0"/>
        <charset val="1"/>
      </rPr>
      <t xml:space="preserve">(JSON Schema Form </t>
    </r>
    <r>
      <rPr>
        <sz val="10"/>
        <rFont val="DejaVu Sans"/>
        <family val="2"/>
      </rPr>
      <t xml:space="preserve">자동 생성</t>
    </r>
    <r>
      <rPr>
        <sz val="10"/>
        <rFont val="Arial"/>
        <family val="0"/>
        <charset val="1"/>
      </rPr>
      <t xml:space="preserve">)</t>
    </r>
  </si>
  <si>
    <t xml:space="preserve">T034</t>
  </si>
  <si>
    <r>
      <rPr>
        <sz val="10"/>
        <rFont val="Arial"/>
        <family val="0"/>
        <charset val="1"/>
      </rPr>
      <t xml:space="preserve">Save / Publish / Version </t>
    </r>
    <r>
      <rPr>
        <sz val="10"/>
        <rFont val="DejaVu Sans"/>
        <family val="2"/>
      </rPr>
      <t xml:space="preserve">피커</t>
    </r>
  </si>
  <si>
    <t xml:space="preserve">T035</t>
  </si>
  <si>
    <r>
      <rPr>
        <sz val="10"/>
        <rFont val="Arial"/>
        <family val="0"/>
        <charset val="1"/>
      </rPr>
      <t xml:space="preserve">Validation </t>
    </r>
    <r>
      <rPr>
        <sz val="10"/>
        <rFont val="DejaVu Sans"/>
        <family val="2"/>
      </rPr>
      <t xml:space="preserve">바 </t>
    </r>
    <r>
      <rPr>
        <sz val="10"/>
        <rFont val="Arial"/>
        <family val="0"/>
        <charset val="1"/>
      </rPr>
      <t xml:space="preserve">(unreachable, fallback </t>
    </r>
    <r>
      <rPr>
        <sz val="10"/>
        <rFont val="DejaVu Sans"/>
        <family val="2"/>
      </rPr>
      <t xml:space="preserve">누락 경고</t>
    </r>
    <r>
      <rPr>
        <sz val="10"/>
        <rFont val="Arial"/>
        <family val="0"/>
        <charset val="1"/>
      </rPr>
      <t xml:space="preserve">)</t>
    </r>
  </si>
  <si>
    <t xml:space="preserve">T026,T035</t>
  </si>
  <si>
    <t xml:space="preserve">T036</t>
  </si>
  <si>
    <r>
      <rPr>
        <sz val="10"/>
        <rFont val="Arial"/>
        <family val="0"/>
        <charset val="1"/>
      </rPr>
      <t xml:space="preserve">Diff </t>
    </r>
    <r>
      <rPr>
        <sz val="10"/>
        <rFont val="DejaVu Sans"/>
        <family val="2"/>
      </rPr>
      <t xml:space="preserve">뷰어 </t>
    </r>
    <r>
      <rPr>
        <sz val="10"/>
        <rFont val="Arial"/>
        <family val="0"/>
        <charset val="1"/>
      </rPr>
      <t xml:space="preserve">(</t>
    </r>
    <r>
      <rPr>
        <sz val="10"/>
        <rFont val="DejaVu Sans"/>
        <family val="2"/>
      </rPr>
      <t xml:space="preserve">버전 간 시각적 차이</t>
    </r>
    <r>
      <rPr>
        <sz val="10"/>
        <rFont val="Arial"/>
        <family val="0"/>
        <charset val="1"/>
      </rPr>
      <t xml:space="preserve">)</t>
    </r>
  </si>
  <si>
    <t xml:space="preserve">T040</t>
  </si>
  <si>
    <t xml:space="preserve">Tools</t>
  </si>
  <si>
    <r>
      <rPr>
        <sz val="10"/>
        <rFont val="Arial"/>
        <family val="0"/>
        <charset val="1"/>
      </rPr>
      <t xml:space="preserve">Tool Registry (HTTP/MCP/DB </t>
    </r>
    <r>
      <rPr>
        <sz val="10"/>
        <rFont val="DejaVu Sans"/>
        <family val="2"/>
      </rPr>
      <t xml:space="preserve">어댑터 통일</t>
    </r>
    <r>
      <rPr>
        <sz val="10"/>
        <rFont val="Arial"/>
        <family val="0"/>
        <charset val="1"/>
      </rPr>
      <t xml:space="preserve">)</t>
    </r>
  </si>
  <si>
    <t xml:space="preserve">T041</t>
  </si>
  <si>
    <r>
      <rPr>
        <sz val="10"/>
        <rFont val="Arial"/>
        <family val="0"/>
        <charset val="1"/>
      </rPr>
      <t xml:space="preserve">MCP </t>
    </r>
    <r>
      <rPr>
        <sz val="10"/>
        <rFont val="DejaVu Sans"/>
        <family val="2"/>
      </rPr>
      <t xml:space="preserve">커넥터 </t>
    </r>
    <r>
      <rPr>
        <sz val="10"/>
        <rFont val="Arial"/>
        <family val="0"/>
        <charset val="1"/>
      </rPr>
      <t xml:space="preserve">3</t>
    </r>
    <r>
      <rPr>
        <sz val="10"/>
        <rFont val="DejaVu Sans"/>
        <family val="2"/>
      </rPr>
      <t xml:space="preserve">종 </t>
    </r>
    <r>
      <rPr>
        <sz val="10"/>
        <rFont val="Arial"/>
        <family val="0"/>
        <charset val="1"/>
      </rPr>
      <t xml:space="preserve">PoC (CRM lookup, Ticket create, Account)</t>
    </r>
  </si>
  <si>
    <t xml:space="preserve">T042</t>
  </si>
  <si>
    <r>
      <rPr>
        <sz val="10"/>
        <rFont val="Arial"/>
        <family val="0"/>
        <charset val="1"/>
      </rPr>
      <t xml:space="preserve">Dry-run </t>
    </r>
    <r>
      <rPr>
        <sz val="10"/>
        <rFont val="DejaVu Sans"/>
        <family val="2"/>
      </rPr>
      <t xml:space="preserve">시뮬레이터 </t>
    </r>
    <r>
      <rPr>
        <sz val="10"/>
        <rFont val="Arial"/>
        <family val="0"/>
        <charset val="1"/>
      </rPr>
      <t xml:space="preserve">(synthetic user_input → </t>
    </r>
    <r>
      <rPr>
        <sz val="10"/>
        <rFont val="DejaVu Sans"/>
        <family val="2"/>
      </rPr>
      <t xml:space="preserve">그래프 경로</t>
    </r>
    <r>
      <rPr>
        <sz val="10"/>
        <rFont val="Arial"/>
        <family val="0"/>
        <charset val="1"/>
      </rPr>
      <t xml:space="preserve">)</t>
    </r>
  </si>
  <si>
    <t xml:space="preserve">T043</t>
  </si>
  <si>
    <r>
      <rPr>
        <sz val="10"/>
        <rFont val="Arial"/>
        <family val="0"/>
        <charset val="1"/>
      </rPr>
      <t xml:space="preserve">Dry-run UI </t>
    </r>
    <r>
      <rPr>
        <sz val="10"/>
        <rFont val="DejaVu Sans"/>
        <family val="2"/>
      </rPr>
      <t xml:space="preserve">연동 </t>
    </r>
    <r>
      <rPr>
        <sz val="10"/>
        <rFont val="Arial"/>
        <family val="0"/>
        <charset val="1"/>
      </rPr>
      <t xml:space="preserve">(</t>
    </r>
    <r>
      <rPr>
        <sz val="10"/>
        <rFont val="DejaVu Sans"/>
        <family val="2"/>
      </rPr>
      <t xml:space="preserve">테스트 발화 → 경로 하이라이트</t>
    </r>
    <r>
      <rPr>
        <sz val="10"/>
        <rFont val="Arial"/>
        <family val="0"/>
        <charset val="1"/>
      </rPr>
      <t xml:space="preserve">)</t>
    </r>
  </si>
  <si>
    <t xml:space="preserve">T042,T032</t>
  </si>
  <si>
    <t xml:space="preserve">T044</t>
  </si>
  <si>
    <r>
      <rPr>
        <sz val="10"/>
        <rFont val="Arial"/>
        <family val="0"/>
        <charset val="1"/>
      </rPr>
      <t xml:space="preserve">Tool </t>
    </r>
    <r>
      <rPr>
        <sz val="10"/>
        <rFont val="DejaVu Sans"/>
        <family val="2"/>
      </rPr>
      <t xml:space="preserve">실패 시 </t>
    </r>
    <r>
      <rPr>
        <sz val="10"/>
        <rFont val="Arial"/>
        <family val="0"/>
        <charset val="1"/>
      </rPr>
      <t xml:space="preserve">fallback </t>
    </r>
    <r>
      <rPr>
        <sz val="10"/>
        <rFont val="DejaVu Sans"/>
        <family val="2"/>
      </rPr>
      <t xml:space="preserve">경로 </t>
    </r>
    <r>
      <rPr>
        <sz val="10"/>
        <rFont val="Arial"/>
        <family val="0"/>
        <charset val="1"/>
      </rPr>
      <t xml:space="preserve">E2E </t>
    </r>
    <r>
      <rPr>
        <sz val="10"/>
        <rFont val="DejaVu Sans"/>
        <family val="2"/>
      </rPr>
      <t xml:space="preserve">검증</t>
    </r>
  </si>
  <si>
    <t xml:space="preserve">T045</t>
  </si>
  <si>
    <r>
      <rPr>
        <sz val="10"/>
        <rFont val="DejaVu Sans"/>
        <family val="2"/>
      </rPr>
      <t xml:space="preserve">템플릿 시나리오 라이브러리 </t>
    </r>
    <r>
      <rPr>
        <sz val="10"/>
        <rFont val="Arial"/>
        <family val="0"/>
        <charset val="1"/>
      </rPr>
      <t xml:space="preserve">(3</t>
    </r>
    <r>
      <rPr>
        <sz val="10"/>
        <rFont val="DejaVu Sans"/>
        <family val="2"/>
      </rPr>
      <t xml:space="preserve">종</t>
    </r>
    <r>
      <rPr>
        <sz val="10"/>
        <rFont val="Arial"/>
        <family val="0"/>
        <charset val="1"/>
      </rPr>
      <t xml:space="preserve">)</t>
    </r>
  </si>
  <si>
    <t xml:space="preserve">T050</t>
  </si>
  <si>
    <t xml:space="preserve">Observability</t>
  </si>
  <si>
    <r>
      <rPr>
        <sz val="10"/>
        <rFont val="Arial"/>
        <family val="0"/>
        <charset val="1"/>
      </rPr>
      <t xml:space="preserve">OTel per-node span </t>
    </r>
    <r>
      <rPr>
        <sz val="10"/>
        <rFont val="DejaVu Sans"/>
        <family val="2"/>
      </rPr>
      <t xml:space="preserve">계측</t>
    </r>
  </si>
  <si>
    <t xml:space="preserve">T051</t>
  </si>
  <si>
    <r>
      <rPr>
        <sz val="10"/>
        <rFont val="Arial"/>
        <family val="0"/>
        <charset val="1"/>
      </rPr>
      <t xml:space="preserve">Grafana </t>
    </r>
    <r>
      <rPr>
        <sz val="10"/>
        <rFont val="DejaVu Sans"/>
        <family val="2"/>
      </rPr>
      <t xml:space="preserve">대시보드 </t>
    </r>
    <r>
      <rPr>
        <sz val="10"/>
        <rFont val="Arial"/>
        <family val="0"/>
        <charset val="1"/>
      </rPr>
      <t xml:space="preserve">(</t>
    </r>
    <r>
      <rPr>
        <sz val="10"/>
        <rFont val="DejaVu Sans"/>
        <family val="2"/>
      </rPr>
      <t xml:space="preserve">노드별 </t>
    </r>
    <r>
      <rPr>
        <sz val="10"/>
        <rFont val="Arial"/>
        <family val="0"/>
        <charset val="1"/>
      </rPr>
      <t xml:space="preserve">latency/</t>
    </r>
    <r>
      <rPr>
        <sz val="10"/>
        <rFont val="DejaVu Sans"/>
        <family val="2"/>
      </rPr>
      <t xml:space="preserve">에러율</t>
    </r>
    <r>
      <rPr>
        <sz val="10"/>
        <rFont val="Arial"/>
        <family val="0"/>
        <charset val="1"/>
      </rPr>
      <t xml:space="preserve">)</t>
    </r>
  </si>
  <si>
    <t xml:space="preserve">T052</t>
  </si>
  <si>
    <t xml:space="preserve">Ops</t>
  </si>
  <si>
    <r>
      <rPr>
        <sz val="10"/>
        <rFont val="DejaVu Sans"/>
        <family val="2"/>
      </rPr>
      <t xml:space="preserve">비용 쿼터 </t>
    </r>
    <r>
      <rPr>
        <sz val="10"/>
        <rFont val="Arial"/>
        <family val="0"/>
        <charset val="1"/>
      </rPr>
      <t xml:space="preserve">(limits.max_cost_cents_per_session) </t>
    </r>
    <r>
      <rPr>
        <sz val="10"/>
        <rFont val="DejaVu Sans"/>
        <family val="2"/>
      </rPr>
      <t xml:space="preserve">적용</t>
    </r>
  </si>
  <si>
    <t xml:space="preserve">T053</t>
  </si>
  <si>
    <r>
      <rPr>
        <sz val="10"/>
        <rFont val="Arial"/>
        <family val="0"/>
        <charset val="1"/>
      </rPr>
      <t xml:space="preserve">Canary % </t>
    </r>
    <r>
      <rPr>
        <sz val="10"/>
        <rFont val="DejaVu Sans"/>
        <family val="2"/>
      </rPr>
      <t xml:space="preserve">토글 </t>
    </r>
    <r>
      <rPr>
        <sz val="10"/>
        <rFont val="Arial"/>
        <family val="0"/>
        <charset val="1"/>
      </rPr>
      <t xml:space="preserve">(hash-based), A/B </t>
    </r>
    <r>
      <rPr>
        <sz val="10"/>
        <rFont val="DejaVu Sans"/>
        <family val="2"/>
      </rPr>
      <t xml:space="preserve">실험 지표</t>
    </r>
  </si>
  <si>
    <t xml:space="preserve">T054</t>
  </si>
  <si>
    <r>
      <rPr>
        <sz val="10"/>
        <rFont val="Arial"/>
        <family val="0"/>
        <charset val="1"/>
      </rPr>
      <t xml:space="preserve">Alert </t>
    </r>
    <r>
      <rPr>
        <sz val="10"/>
        <rFont val="DejaVu Sans"/>
        <family val="2"/>
      </rPr>
      <t xml:space="preserve">룰 </t>
    </r>
    <r>
      <rPr>
        <sz val="10"/>
        <rFont val="Arial"/>
        <family val="0"/>
        <charset val="1"/>
      </rPr>
      <t xml:space="preserve">(p95&gt;1.0s, error&gt;2%, cost </t>
    </r>
    <r>
      <rPr>
        <sz val="10"/>
        <rFont val="DejaVu Sans"/>
        <family val="2"/>
      </rPr>
      <t xml:space="preserve">초과</t>
    </r>
    <r>
      <rPr>
        <sz val="10"/>
        <rFont val="Arial"/>
        <family val="0"/>
        <charset val="1"/>
      </rPr>
      <t xml:space="preserve">)</t>
    </r>
  </si>
  <si>
    <t xml:space="preserve">T055</t>
  </si>
  <si>
    <r>
      <rPr>
        <sz val="10"/>
        <rFont val="Arial"/>
        <family val="0"/>
        <charset val="1"/>
      </rPr>
      <t xml:space="preserve">Runbook: agentic </t>
    </r>
    <r>
      <rPr>
        <sz val="10"/>
        <rFont val="DejaVu Sans"/>
        <family val="2"/>
      </rPr>
      <t xml:space="preserve">자동 롤백 절차</t>
    </r>
  </si>
  <si>
    <t xml:space="preserve">T060</t>
  </si>
  <si>
    <t xml:space="preserve">Quality</t>
  </si>
  <si>
    <r>
      <rPr>
        <sz val="10"/>
        <rFont val="DejaVu Sans"/>
        <family val="2"/>
      </rPr>
      <t xml:space="preserve">멀티 테넌트 격리 침투 테스트 </t>
    </r>
    <r>
      <rPr>
        <sz val="10"/>
        <rFont val="Arial"/>
        <family val="0"/>
        <charset val="1"/>
      </rPr>
      <t xml:space="preserve">(Redis/Mongo </t>
    </r>
    <r>
      <rPr>
        <sz val="10"/>
        <rFont val="DejaVu Sans"/>
        <family val="2"/>
      </rPr>
      <t xml:space="preserve">누출</t>
    </r>
    <r>
      <rPr>
        <sz val="10"/>
        <rFont val="Arial"/>
        <family val="0"/>
        <charset val="1"/>
      </rPr>
      <t xml:space="preserve">)</t>
    </r>
  </si>
  <si>
    <t xml:space="preserve">T021,T052</t>
  </si>
  <si>
    <t xml:space="preserve">T061</t>
  </si>
  <si>
    <r>
      <rPr>
        <sz val="10"/>
        <rFont val="DejaVu Sans"/>
        <family val="2"/>
      </rPr>
      <t xml:space="preserve">보안 리뷰 </t>
    </r>
    <r>
      <rPr>
        <sz val="10"/>
        <rFont val="Arial"/>
        <family val="0"/>
        <charset val="1"/>
      </rPr>
      <t xml:space="preserve">(DSL </t>
    </r>
    <r>
      <rPr>
        <sz val="10"/>
        <rFont val="DejaVu Sans"/>
        <family val="2"/>
      </rPr>
      <t xml:space="preserve">인젝션</t>
    </r>
    <r>
      <rPr>
        <sz val="10"/>
        <rFont val="Arial"/>
        <family val="0"/>
        <charset val="1"/>
      </rPr>
      <t xml:space="preserve">, tool args </t>
    </r>
    <r>
      <rPr>
        <sz val="10"/>
        <rFont val="DejaVu Sans"/>
        <family val="2"/>
      </rPr>
      <t xml:space="preserve">검증</t>
    </r>
    <r>
      <rPr>
        <sz val="10"/>
        <rFont val="Arial"/>
        <family val="0"/>
        <charset val="1"/>
      </rPr>
      <t xml:space="preserve">)</t>
    </r>
  </si>
  <si>
    <t xml:space="preserve">T040,T041</t>
  </si>
  <si>
    <t xml:space="preserve">T062</t>
  </si>
  <si>
    <r>
      <rPr>
        <sz val="10"/>
        <rFont val="DejaVu Sans"/>
        <family val="2"/>
      </rPr>
      <t xml:space="preserve">부하 테스트 </t>
    </r>
    <r>
      <rPr>
        <sz val="10"/>
        <rFont val="Arial"/>
        <family val="0"/>
        <charset val="1"/>
      </rPr>
      <t xml:space="preserve">(300 </t>
    </r>
    <r>
      <rPr>
        <sz val="10"/>
        <rFont val="DejaVu Sans"/>
        <family val="2"/>
      </rPr>
      <t xml:space="preserve">동시 세션</t>
    </r>
    <r>
      <rPr>
        <sz val="10"/>
        <rFont val="Arial"/>
        <family val="0"/>
        <charset val="1"/>
      </rPr>
      <t xml:space="preserve">, 2</t>
    </r>
    <r>
      <rPr>
        <sz val="10"/>
        <rFont val="DejaVu Sans"/>
        <family val="2"/>
      </rPr>
      <t xml:space="preserve">시간</t>
    </r>
    <r>
      <rPr>
        <sz val="10"/>
        <rFont val="Arial"/>
        <family val="0"/>
        <charset val="1"/>
      </rPr>
      <t xml:space="preserve">)</t>
    </r>
  </si>
  <si>
    <t xml:space="preserve">T063</t>
  </si>
  <si>
    <r>
      <rPr>
        <sz val="10"/>
        <rFont val="Arial"/>
        <family val="0"/>
        <charset val="1"/>
      </rPr>
      <t xml:space="preserve">LLM cost/token </t>
    </r>
    <r>
      <rPr>
        <sz val="10"/>
        <rFont val="DejaVu Sans"/>
        <family val="2"/>
      </rPr>
      <t xml:space="preserve">효율 튜닝 </t>
    </r>
    <r>
      <rPr>
        <sz val="10"/>
        <rFont val="Arial"/>
        <family val="0"/>
        <charset val="1"/>
      </rPr>
      <t xml:space="preserve">(history trim)</t>
    </r>
  </si>
  <si>
    <t xml:space="preserve">T064</t>
  </si>
  <si>
    <r>
      <rPr>
        <sz val="10"/>
        <rFont val="Arial"/>
        <family val="0"/>
        <charset val="1"/>
      </rPr>
      <t xml:space="preserve">Chaos </t>
    </r>
    <r>
      <rPr>
        <sz val="10"/>
        <rFont val="DejaVu Sans"/>
        <family val="2"/>
      </rPr>
      <t xml:space="preserve">테스트 </t>
    </r>
    <r>
      <rPr>
        <sz val="10"/>
        <rFont val="Arial"/>
        <family val="0"/>
        <charset val="1"/>
      </rPr>
      <t xml:space="preserve">(CB OPEN, Redis </t>
    </r>
    <r>
      <rPr>
        <sz val="10"/>
        <rFont val="DejaVu Sans"/>
        <family val="2"/>
      </rPr>
      <t xml:space="preserve">단절</t>
    </r>
    <r>
      <rPr>
        <sz val="10"/>
        <rFont val="Arial"/>
        <family val="0"/>
        <charset val="1"/>
      </rPr>
      <t xml:space="preserve">)</t>
    </r>
  </si>
  <si>
    <t xml:space="preserve">T070</t>
  </si>
  <si>
    <t xml:space="preserve">Docs</t>
  </si>
  <si>
    <r>
      <rPr>
        <sz val="10"/>
        <rFont val="DejaVu Sans"/>
        <family val="2"/>
      </rPr>
      <t xml:space="preserve">운영 </t>
    </r>
    <r>
      <rPr>
        <sz val="10"/>
        <rFont val="Arial"/>
        <family val="0"/>
        <charset val="1"/>
      </rPr>
      <t xml:space="preserve">Runbook </t>
    </r>
    <r>
      <rPr>
        <sz val="10"/>
        <rFont val="DejaVu Sans"/>
        <family val="2"/>
      </rPr>
      <t xml:space="preserve">업데이트 </t>
    </r>
    <r>
      <rPr>
        <sz val="10"/>
        <rFont val="Arial"/>
        <family val="0"/>
        <charset val="1"/>
      </rPr>
      <t xml:space="preserve">(agentic </t>
    </r>
    <r>
      <rPr>
        <sz val="10"/>
        <rFont val="DejaVu Sans"/>
        <family val="2"/>
      </rPr>
      <t xml:space="preserve">항목 추가</t>
    </r>
    <r>
      <rPr>
        <sz val="10"/>
        <rFont val="Arial"/>
        <family val="0"/>
        <charset val="1"/>
      </rPr>
      <t xml:space="preserve">)</t>
    </r>
  </si>
  <si>
    <t xml:space="preserve">T071</t>
  </si>
  <si>
    <r>
      <rPr>
        <sz val="10"/>
        <rFont val="DejaVu Sans"/>
        <family val="2"/>
      </rPr>
      <t xml:space="preserve">마이그레이션 가이드 </t>
    </r>
    <r>
      <rPr>
        <sz val="10"/>
        <rFont val="Arial"/>
        <family val="0"/>
        <charset val="1"/>
      </rPr>
      <t xml:space="preserve">(</t>
    </r>
    <r>
      <rPr>
        <sz val="10"/>
        <rFont val="DejaVu Sans"/>
        <family val="2"/>
      </rPr>
      <t xml:space="preserve">테넌트별 </t>
    </r>
    <r>
      <rPr>
        <sz val="10"/>
        <rFont val="Arial"/>
        <family val="0"/>
        <charset val="1"/>
      </rPr>
      <t xml:space="preserve">opt-in </t>
    </r>
    <r>
      <rPr>
        <sz val="10"/>
        <rFont val="DejaVu Sans"/>
        <family val="2"/>
      </rPr>
      <t xml:space="preserve">절차</t>
    </r>
    <r>
      <rPr>
        <sz val="10"/>
        <rFont val="Arial"/>
        <family val="0"/>
        <charset val="1"/>
      </rPr>
      <t xml:space="preserve">)</t>
    </r>
  </si>
  <si>
    <t xml:space="preserve">T072</t>
  </si>
  <si>
    <r>
      <rPr>
        <sz val="10"/>
        <rFont val="DejaVu Sans"/>
        <family val="2"/>
      </rPr>
      <t xml:space="preserve">시나리오 저작 가이드 </t>
    </r>
    <r>
      <rPr>
        <sz val="10"/>
        <rFont val="Arial"/>
        <family val="0"/>
        <charset val="1"/>
      </rPr>
      <t xml:space="preserve">(</t>
    </r>
    <r>
      <rPr>
        <sz val="10"/>
        <rFont val="DejaVu Sans"/>
        <family val="2"/>
      </rPr>
      <t xml:space="preserve">운영자 대상</t>
    </r>
    <r>
      <rPr>
        <sz val="10"/>
        <rFont val="Arial"/>
        <family val="0"/>
        <charset val="1"/>
      </rPr>
      <t xml:space="preserve">)</t>
    </r>
  </si>
  <si>
    <t xml:space="preserve">T073</t>
  </si>
  <si>
    <r>
      <rPr>
        <sz val="10"/>
        <rFont val="Arial"/>
        <family val="0"/>
        <charset val="1"/>
      </rPr>
      <t xml:space="preserve">GA </t>
    </r>
    <r>
      <rPr>
        <sz val="10"/>
        <rFont val="DejaVu Sans"/>
        <family val="2"/>
      </rPr>
      <t xml:space="preserve">체크리스트 실사 </t>
    </r>
    <r>
      <rPr>
        <sz val="10"/>
        <rFont val="Arial"/>
        <family val="0"/>
        <charset val="1"/>
      </rPr>
      <t xml:space="preserve">(deploy-checklist </t>
    </r>
    <r>
      <rPr>
        <sz val="10"/>
        <rFont val="DejaVu Sans"/>
        <family val="2"/>
      </rPr>
      <t xml:space="preserve">스킬 활용</t>
    </r>
    <r>
      <rPr>
        <sz val="10"/>
        <rFont val="Arial"/>
        <family val="0"/>
        <charset val="1"/>
      </rPr>
      <t xml:space="preserve">)</t>
    </r>
  </si>
  <si>
    <t xml:space="preserve">T062,T063</t>
  </si>
  <si>
    <t xml:space="preserve">T074</t>
  </si>
  <si>
    <r>
      <rPr>
        <sz val="10"/>
        <rFont val="Arial"/>
        <family val="0"/>
        <charset val="1"/>
      </rPr>
      <t xml:space="preserve">GA </t>
    </r>
    <r>
      <rPr>
        <sz val="10"/>
        <rFont val="DejaVu Sans"/>
        <family val="2"/>
      </rPr>
      <t xml:space="preserve">리허설 </t>
    </r>
    <r>
      <rPr>
        <sz val="10"/>
        <rFont val="Arial"/>
        <family val="0"/>
        <charset val="1"/>
      </rPr>
      <t xml:space="preserve">(staging full sim)</t>
    </r>
  </si>
  <si>
    <t xml:space="preserve">T075</t>
  </si>
  <si>
    <r>
      <rPr>
        <sz val="10"/>
        <rFont val="DejaVu Sans"/>
        <family val="2"/>
      </rPr>
      <t xml:space="preserve">릴리즈 노트 </t>
    </r>
    <r>
      <rPr>
        <sz val="10"/>
        <rFont val="Arial"/>
        <family val="0"/>
        <charset val="1"/>
      </rPr>
      <t xml:space="preserve">v1.0</t>
    </r>
  </si>
  <si>
    <t xml:space="preserve">Backlog Total PD</t>
  </si>
  <si>
    <r>
      <rPr>
        <b val="true"/>
        <sz val="14"/>
        <color rgb="FFFFFFFF"/>
        <rFont val="DejaVu Sans"/>
        <family val="2"/>
      </rPr>
      <t xml:space="preserve">상위 </t>
    </r>
    <r>
      <rPr>
        <b val="true"/>
        <sz val="14"/>
        <color rgb="FFFFFFFF"/>
        <rFont val="Arial"/>
        <family val="0"/>
        <charset val="1"/>
      </rPr>
      <t xml:space="preserve">Task</t>
    </r>
  </si>
  <si>
    <r>
      <rPr>
        <b val="true"/>
        <sz val="14"/>
        <color rgb="FFFFFFFF"/>
        <rFont val="DejaVu Sans"/>
        <family val="2"/>
      </rPr>
      <t xml:space="preserve">하위 </t>
    </r>
    <r>
      <rPr>
        <b val="true"/>
        <sz val="14"/>
        <color rgb="FFFFFFFF"/>
        <rFont val="Arial"/>
        <family val="0"/>
        <charset val="1"/>
      </rPr>
      <t xml:space="preserve">Task</t>
    </r>
  </si>
  <si>
    <t xml:space="preserve">관계</t>
  </si>
  <si>
    <r>
      <rPr>
        <b val="true"/>
        <sz val="14"/>
        <color rgb="FFFFFFFF"/>
        <rFont val="DejaVu Sans"/>
        <family val="2"/>
      </rPr>
      <t xml:space="preserve">크리티컬</t>
    </r>
    <r>
      <rPr>
        <b val="true"/>
        <sz val="14"/>
        <color rgb="FFFFFFFF"/>
        <rFont val="Arial"/>
        <family val="0"/>
        <charset val="1"/>
      </rPr>
      <t xml:space="preserve">?</t>
    </r>
  </si>
  <si>
    <r>
      <rPr>
        <sz val="10"/>
        <rFont val="Arial"/>
        <family val="0"/>
        <charset val="1"/>
      </rPr>
      <t xml:space="preserve">T003 DSL </t>
    </r>
    <r>
      <rPr>
        <sz val="10"/>
        <rFont val="DejaVu Sans"/>
        <family val="2"/>
      </rPr>
      <t xml:space="preserve">스키마</t>
    </r>
  </si>
  <si>
    <t xml:space="preserve">T010 compiler</t>
  </si>
  <si>
    <t xml:space="preserve">FS (Finish-to-Start)</t>
  </si>
  <si>
    <t xml:space="preserve">Y</t>
  </si>
  <si>
    <r>
      <rPr>
        <sz val="10"/>
        <rFont val="Arial"/>
        <family val="0"/>
        <charset val="1"/>
      </rPr>
      <t xml:space="preserve">compiler </t>
    </r>
    <r>
      <rPr>
        <sz val="10"/>
        <rFont val="DejaVu Sans"/>
        <family val="2"/>
      </rPr>
      <t xml:space="preserve">가 </t>
    </r>
    <r>
      <rPr>
        <sz val="10"/>
        <rFont val="Arial"/>
        <family val="0"/>
        <charset val="1"/>
      </rPr>
      <t xml:space="preserve">DSL </t>
    </r>
    <r>
      <rPr>
        <sz val="10"/>
        <rFont val="DejaVu Sans"/>
        <family val="2"/>
      </rPr>
      <t xml:space="preserve">에 의존</t>
    </r>
  </si>
  <si>
    <t xml:space="preserve">T012 Runtime</t>
  </si>
  <si>
    <t xml:space="preserve">T022 API</t>
  </si>
  <si>
    <t xml:space="preserve">FS</t>
  </si>
  <si>
    <r>
      <rPr>
        <sz val="10"/>
        <rFont val="Arial"/>
        <family val="0"/>
        <charset val="1"/>
      </rPr>
      <t xml:space="preserve">/sessions </t>
    </r>
    <r>
      <rPr>
        <sz val="10"/>
        <rFont val="DejaVu Sans"/>
        <family val="2"/>
      </rPr>
      <t xml:space="preserve">가 </t>
    </r>
    <r>
      <rPr>
        <sz val="10"/>
        <rFont val="Arial"/>
        <family val="0"/>
        <charset val="1"/>
      </rPr>
      <t xml:space="preserve">Runtime </t>
    </r>
    <r>
      <rPr>
        <sz val="10"/>
        <rFont val="DejaVu Sans"/>
        <family val="2"/>
      </rPr>
      <t xml:space="preserve">호출</t>
    </r>
  </si>
  <si>
    <t xml:space="preserve">T020 Repo</t>
  </si>
  <si>
    <t xml:space="preserve">T021 Publish</t>
  </si>
  <si>
    <r>
      <rPr>
        <sz val="10"/>
        <rFont val="Arial"/>
        <family val="0"/>
        <charset val="1"/>
      </rPr>
      <t xml:space="preserve">Publish </t>
    </r>
    <r>
      <rPr>
        <sz val="10"/>
        <rFont val="DejaVu Sans"/>
        <family val="2"/>
      </rPr>
      <t xml:space="preserve">는 </t>
    </r>
    <r>
      <rPr>
        <sz val="10"/>
        <rFont val="Arial"/>
        <family val="0"/>
        <charset val="1"/>
      </rPr>
      <t xml:space="preserve">Repo </t>
    </r>
    <r>
      <rPr>
        <sz val="10"/>
        <rFont val="DejaVu Sans"/>
        <family val="2"/>
      </rPr>
      <t xml:space="preserve">위</t>
    </r>
  </si>
  <si>
    <t xml:space="preserve">T023 Router</t>
  </si>
  <si>
    <r>
      <rPr>
        <sz val="10"/>
        <rFont val="Arial"/>
        <family val="0"/>
        <charset val="1"/>
      </rPr>
      <t xml:space="preserve">T024 </t>
    </r>
    <r>
      <rPr>
        <sz val="10"/>
        <rFont val="DejaVu Sans"/>
        <family val="2"/>
      </rPr>
      <t xml:space="preserve">세션 통합</t>
    </r>
  </si>
  <si>
    <t xml:space="preserve">라우팅 엔드포인트 통합</t>
  </si>
  <si>
    <r>
      <rPr>
        <sz val="10"/>
        <rFont val="Arial"/>
        <family val="0"/>
        <charset val="1"/>
      </rPr>
      <t xml:space="preserve">T030 React </t>
    </r>
    <r>
      <rPr>
        <sz val="10"/>
        <rFont val="DejaVu Sans"/>
        <family val="2"/>
      </rPr>
      <t xml:space="preserve">셋업</t>
    </r>
  </si>
  <si>
    <r>
      <rPr>
        <sz val="10"/>
        <rFont val="Arial"/>
        <family val="0"/>
        <charset val="1"/>
      </rPr>
      <t xml:space="preserve">T031 </t>
    </r>
    <r>
      <rPr>
        <sz val="10"/>
        <rFont val="DejaVu Sans"/>
        <family val="2"/>
      </rPr>
      <t xml:space="preserve">팔레트</t>
    </r>
  </si>
  <si>
    <t xml:space="preserve">프런트 기반</t>
  </si>
  <si>
    <r>
      <rPr>
        <sz val="10"/>
        <rFont val="Arial"/>
        <family val="0"/>
        <charset val="1"/>
      </rPr>
      <t xml:space="preserve">T032 </t>
    </r>
    <r>
      <rPr>
        <sz val="10"/>
        <rFont val="DejaVu Sans"/>
        <family val="2"/>
      </rPr>
      <t xml:space="preserve">캔버스</t>
    </r>
  </si>
  <si>
    <t xml:space="preserve">T033 Inspector</t>
  </si>
  <si>
    <t xml:space="preserve">FS (parallel OK)</t>
  </si>
  <si>
    <t xml:space="preserve">N</t>
  </si>
  <si>
    <t xml:space="preserve">T040 Registry</t>
  </si>
  <si>
    <r>
      <rPr>
        <sz val="10"/>
        <rFont val="Arial"/>
        <family val="0"/>
        <charset val="1"/>
      </rPr>
      <t xml:space="preserve">T041 MCP </t>
    </r>
    <r>
      <rPr>
        <sz val="10"/>
        <rFont val="DejaVu Sans"/>
        <family val="2"/>
      </rPr>
      <t xml:space="preserve">커넥터</t>
    </r>
  </si>
  <si>
    <t xml:space="preserve">어댑터 표준화 우선</t>
  </si>
  <si>
    <t xml:space="preserve">T042 Dry-run</t>
  </si>
  <si>
    <r>
      <rPr>
        <sz val="10"/>
        <rFont val="Arial"/>
        <family val="0"/>
        <charset val="1"/>
      </rPr>
      <t xml:space="preserve">T043 UI </t>
    </r>
    <r>
      <rPr>
        <sz val="10"/>
        <rFont val="DejaVu Sans"/>
        <family val="2"/>
      </rPr>
      <t xml:space="preserve">연동</t>
    </r>
  </si>
  <si>
    <r>
      <rPr>
        <sz val="10"/>
        <rFont val="Arial"/>
        <family val="0"/>
        <charset val="1"/>
      </rPr>
      <t xml:space="preserve">UI </t>
    </r>
    <r>
      <rPr>
        <sz val="10"/>
        <rFont val="DejaVu Sans"/>
        <family val="2"/>
      </rPr>
      <t xml:space="preserve">하이라이트는 </t>
    </r>
    <r>
      <rPr>
        <sz val="10"/>
        <rFont val="Arial"/>
        <family val="0"/>
        <charset val="1"/>
      </rPr>
      <t xml:space="preserve">DR </t>
    </r>
    <r>
      <rPr>
        <sz val="10"/>
        <rFont val="DejaVu Sans"/>
        <family val="2"/>
      </rPr>
      <t xml:space="preserve">결과 필요</t>
    </r>
  </si>
  <si>
    <t xml:space="preserve">T050 OTel</t>
  </si>
  <si>
    <t xml:space="preserve">T051 Grafana</t>
  </si>
  <si>
    <r>
      <rPr>
        <sz val="10"/>
        <rFont val="DejaVu Sans"/>
        <family val="2"/>
      </rPr>
      <t xml:space="preserve">대시보드는 </t>
    </r>
    <r>
      <rPr>
        <sz val="10"/>
        <rFont val="Arial"/>
        <family val="0"/>
        <charset val="1"/>
      </rPr>
      <t xml:space="preserve">span </t>
    </r>
    <r>
      <rPr>
        <sz val="10"/>
        <rFont val="DejaVu Sans"/>
        <family val="2"/>
      </rPr>
      <t xml:space="preserve">필요</t>
    </r>
  </si>
  <si>
    <t xml:space="preserve">T053 Canary</t>
  </si>
  <si>
    <t xml:space="preserve">T054 Alert</t>
  </si>
  <si>
    <r>
      <rPr>
        <sz val="10"/>
        <rFont val="Arial"/>
        <family val="0"/>
        <charset val="1"/>
      </rPr>
      <t xml:space="preserve">T062 </t>
    </r>
    <r>
      <rPr>
        <sz val="10"/>
        <rFont val="DejaVu Sans"/>
        <family val="2"/>
      </rPr>
      <t xml:space="preserve">부하</t>
    </r>
  </si>
  <si>
    <r>
      <rPr>
        <sz val="10"/>
        <rFont val="Arial"/>
        <family val="0"/>
        <charset val="1"/>
      </rPr>
      <t xml:space="preserve">T073 GA </t>
    </r>
    <r>
      <rPr>
        <sz val="10"/>
        <rFont val="DejaVu Sans"/>
        <family val="2"/>
      </rPr>
      <t xml:space="preserve">체크리스트</t>
    </r>
  </si>
  <si>
    <r>
      <rPr>
        <sz val="10"/>
        <rFont val="Arial"/>
        <family val="0"/>
        <charset val="1"/>
      </rPr>
      <t xml:space="preserve">p95 </t>
    </r>
    <r>
      <rPr>
        <sz val="10"/>
        <rFont val="DejaVu Sans"/>
        <family val="2"/>
      </rPr>
      <t xml:space="preserve">보증 이후 </t>
    </r>
    <r>
      <rPr>
        <sz val="10"/>
        <rFont val="Arial"/>
        <family val="0"/>
        <charset val="1"/>
      </rPr>
      <t xml:space="preserve">GA</t>
    </r>
  </si>
  <si>
    <t xml:space="preserve">Milestone</t>
  </si>
  <si>
    <t xml:space="preserve">Target Date</t>
  </si>
  <si>
    <t xml:space="preserve">Exit Criteria</t>
  </si>
  <si>
    <t xml:space="preserve">Blocking?</t>
  </si>
  <si>
    <t xml:space="preserve">M1: DSL + Runtime frozen</t>
  </si>
  <si>
    <r>
      <rPr>
        <sz val="10"/>
        <rFont val="Arial"/>
        <family val="0"/>
        <charset val="1"/>
      </rPr>
      <t xml:space="preserve">state+compiler+runtime E2E </t>
    </r>
    <r>
      <rPr>
        <sz val="10"/>
        <rFont val="DejaVu Sans"/>
        <family val="2"/>
      </rPr>
      <t xml:space="preserve">통과</t>
    </r>
    <r>
      <rPr>
        <sz val="10"/>
        <rFont val="Arial"/>
        <family val="0"/>
        <charset val="1"/>
      </rPr>
      <t xml:space="preserve">, </t>
    </r>
    <r>
      <rPr>
        <sz val="10"/>
        <rFont val="DejaVu Sans"/>
        <family val="2"/>
      </rPr>
      <t xml:space="preserve">샘플 시나리오 완주</t>
    </r>
  </si>
  <si>
    <t xml:space="preserve">M2: Admin API + Router GA</t>
  </si>
  <si>
    <r>
      <rPr>
        <sz val="10"/>
        <rFont val="Arial"/>
        <family val="0"/>
        <charset val="1"/>
      </rPr>
      <t xml:space="preserve">/scenarios CRUD, tenant flag </t>
    </r>
    <r>
      <rPr>
        <sz val="10"/>
        <rFont val="DejaVu Sans"/>
        <family val="2"/>
      </rPr>
      <t xml:space="preserve">기반 라우팅 </t>
    </r>
    <r>
      <rPr>
        <sz val="10"/>
        <rFont val="Arial"/>
        <family val="0"/>
        <charset val="1"/>
      </rPr>
      <t xml:space="preserve">demo</t>
    </r>
  </si>
  <si>
    <t xml:space="preserve">M3: Builder MVP</t>
  </si>
  <si>
    <r>
      <rPr>
        <sz val="10"/>
        <rFont val="DejaVu Sans"/>
        <family val="2"/>
      </rPr>
      <t xml:space="preserve">운영자 데모 </t>
    </r>
    <r>
      <rPr>
        <sz val="10"/>
        <rFont val="Arial"/>
        <family val="0"/>
        <charset val="1"/>
      </rPr>
      <t xml:space="preserve">1</t>
    </r>
    <r>
      <rPr>
        <sz val="10"/>
        <rFont val="DejaVu Sans"/>
        <family val="2"/>
      </rPr>
      <t xml:space="preserve">차 </t>
    </r>
    <r>
      <rPr>
        <sz val="10"/>
        <rFont val="Arial"/>
        <family val="0"/>
        <charset val="1"/>
      </rPr>
      <t xml:space="preserve">(CRUD, Save, Publish)</t>
    </r>
  </si>
  <si>
    <t xml:space="preserve">M4: Tools &amp; Dry-run</t>
  </si>
  <si>
    <r>
      <rPr>
        <sz val="10"/>
        <rFont val="DejaVu Sans"/>
        <family val="2"/>
      </rPr>
      <t xml:space="preserve">잔액조회 </t>
    </r>
    <r>
      <rPr>
        <sz val="10"/>
        <rFont val="Arial"/>
        <family val="0"/>
        <charset val="1"/>
      </rPr>
      <t xml:space="preserve">MCP </t>
    </r>
    <r>
      <rPr>
        <sz val="10"/>
        <rFont val="DejaVu Sans"/>
        <family val="2"/>
      </rPr>
      <t xml:space="preserve">기반 시나리오 완주</t>
    </r>
  </si>
  <si>
    <t xml:space="preserve">M5: Observability + Canary</t>
  </si>
  <si>
    <r>
      <rPr>
        <sz val="10"/>
        <rFont val="Arial"/>
        <family val="0"/>
        <charset val="1"/>
      </rPr>
      <t xml:space="preserve">Grafana </t>
    </r>
    <r>
      <rPr>
        <sz val="10"/>
        <rFont val="DejaVu Sans"/>
        <family val="2"/>
      </rPr>
      <t xml:space="preserve">공개</t>
    </r>
    <r>
      <rPr>
        <sz val="10"/>
        <rFont val="Arial"/>
        <family val="0"/>
        <charset val="1"/>
      </rPr>
      <t xml:space="preserve">, Canary 10% </t>
    </r>
    <r>
      <rPr>
        <sz val="10"/>
        <rFont val="DejaVu Sans"/>
        <family val="2"/>
      </rPr>
      <t xml:space="preserve">라이브</t>
    </r>
  </si>
  <si>
    <t xml:space="preserve">M6: Hardening complete</t>
  </si>
  <si>
    <r>
      <rPr>
        <sz val="10"/>
        <rFont val="DejaVu Sans"/>
        <family val="2"/>
      </rPr>
      <t xml:space="preserve">부하 </t>
    </r>
    <r>
      <rPr>
        <sz val="10"/>
        <rFont val="Arial"/>
        <family val="0"/>
        <charset val="1"/>
      </rPr>
      <t xml:space="preserve">p95 ≤ 1.0s, </t>
    </r>
    <r>
      <rPr>
        <sz val="10"/>
        <rFont val="DejaVu Sans"/>
        <family val="2"/>
      </rPr>
      <t xml:space="preserve">보안 리뷰 통과</t>
    </r>
  </si>
  <si>
    <t xml:space="preserve">M7: GA</t>
  </si>
  <si>
    <r>
      <rPr>
        <sz val="10"/>
        <rFont val="Arial"/>
        <family val="0"/>
        <charset val="1"/>
      </rPr>
      <t xml:space="preserve">2+ </t>
    </r>
    <r>
      <rPr>
        <sz val="10"/>
        <rFont val="DejaVu Sans"/>
        <family val="2"/>
      </rPr>
      <t xml:space="preserve">테넌트 </t>
    </r>
    <r>
      <rPr>
        <sz val="10"/>
        <rFont val="Arial"/>
        <family val="0"/>
        <charset val="1"/>
      </rPr>
      <t xml:space="preserve">Agentic </t>
    </r>
    <r>
      <rPr>
        <sz val="10"/>
        <rFont val="DejaVu Sans"/>
        <family val="2"/>
      </rPr>
      <t xml:space="preserve">라이브</t>
    </r>
    <r>
      <rPr>
        <sz val="10"/>
        <rFont val="Arial"/>
        <family val="0"/>
        <charset val="1"/>
      </rPr>
      <t xml:space="preserve">, Runbook </t>
    </r>
    <r>
      <rPr>
        <sz val="10"/>
        <rFont val="DejaVu Sans"/>
        <family val="2"/>
      </rPr>
      <t xml:space="preserve">완성</t>
    </r>
  </si>
  <si>
    <t xml:space="preserve">Activity</t>
  </si>
  <si>
    <t xml:space="preserve">Platform Eng</t>
  </si>
  <si>
    <t xml:space="preserve">Backend Eng</t>
  </si>
  <si>
    <t xml:space="preserve">Product</t>
  </si>
  <si>
    <t xml:space="preserve">Security</t>
  </si>
  <si>
    <t xml:space="preserve">Support</t>
  </si>
  <si>
    <r>
      <rPr>
        <sz val="10"/>
        <rFont val="Arial"/>
        <family val="0"/>
        <charset val="1"/>
      </rPr>
      <t xml:space="preserve">LangGraph </t>
    </r>
    <r>
      <rPr>
        <sz val="10"/>
        <rFont val="DejaVu Sans"/>
        <family val="2"/>
      </rPr>
      <t xml:space="preserve">의존성</t>
    </r>
    <r>
      <rPr>
        <sz val="10"/>
        <rFont val="Arial"/>
        <family val="0"/>
        <charset val="1"/>
      </rPr>
      <t xml:space="preserve">/</t>
    </r>
    <r>
      <rPr>
        <sz val="10"/>
        <rFont val="DejaVu Sans"/>
        <family val="2"/>
      </rPr>
      <t xml:space="preserve">버전 정책</t>
    </r>
  </si>
  <si>
    <t xml:space="preserve">R/A</t>
  </si>
  <si>
    <t xml:space="preserve">C</t>
  </si>
  <si>
    <t xml:space="preserve">I</t>
  </si>
  <si>
    <r>
      <rPr>
        <sz val="10"/>
        <rFont val="Arial"/>
        <family val="0"/>
        <charset val="1"/>
      </rPr>
      <t xml:space="preserve">Scenario DSL </t>
    </r>
    <r>
      <rPr>
        <sz val="10"/>
        <rFont val="DejaVu Sans"/>
        <family val="2"/>
      </rPr>
      <t xml:space="preserve">스키마</t>
    </r>
  </si>
  <si>
    <t xml:space="preserve">Compiler &amp; Runtime</t>
  </si>
  <si>
    <t xml:space="preserve">Repo + REST API</t>
  </si>
  <si>
    <t xml:space="preserve">AgenticRouter</t>
  </si>
  <si>
    <t xml:space="preserve">Tool Registry/MCP</t>
  </si>
  <si>
    <t xml:space="preserve">Security Review</t>
  </si>
  <si>
    <t xml:space="preserve">Canary / Rollback</t>
  </si>
  <si>
    <r>
      <rPr>
        <sz val="10"/>
        <rFont val="DejaVu Sans"/>
        <family val="2"/>
      </rPr>
      <t xml:space="preserve">운영 </t>
    </r>
    <r>
      <rPr>
        <sz val="10"/>
        <rFont val="Arial"/>
        <family val="0"/>
        <charset val="1"/>
      </rPr>
      <t xml:space="preserve">Runbook</t>
    </r>
  </si>
  <si>
    <t xml:space="preserve">시나리오 저작 가이드</t>
  </si>
  <si>
    <r>
      <rPr>
        <sz val="10"/>
        <rFont val="Arial"/>
        <family val="0"/>
        <charset val="1"/>
      </rPr>
      <t xml:space="preserve">GA </t>
    </r>
    <r>
      <rPr>
        <sz val="10"/>
        <rFont val="DejaVu Sans"/>
        <family val="2"/>
      </rPr>
      <t xml:space="preserve">의사결정</t>
    </r>
  </si>
  <si>
    <r>
      <rPr>
        <b val="true"/>
        <sz val="10"/>
        <rFont val="DejaVu Sans"/>
        <family val="2"/>
      </rPr>
      <t xml:space="preserve">범례</t>
    </r>
    <r>
      <rPr>
        <b val="true"/>
        <sz val="10"/>
        <rFont val="Arial"/>
        <family val="0"/>
        <charset val="1"/>
      </rPr>
      <t xml:space="preserve">: R=Responsible, A=Accountable, C=Consulted, I=Informed</t>
    </r>
  </si>
  <si>
    <t xml:space="preserve">항목</t>
  </si>
  <si>
    <t xml:space="preserve">단위</t>
  </si>
  <si>
    <t xml:space="preserve">수량</t>
  </si>
  <si>
    <r>
      <rPr>
        <b val="true"/>
        <sz val="14"/>
        <color rgb="FFFFFFFF"/>
        <rFont val="DejaVu Sans"/>
        <family val="2"/>
      </rPr>
      <t xml:space="preserve">단가</t>
    </r>
    <r>
      <rPr>
        <b val="true"/>
        <sz val="14"/>
        <color rgb="FFFFFFFF"/>
        <rFont val="Arial"/>
        <family val="0"/>
        <charset val="1"/>
      </rPr>
      <t xml:space="preserve">(USD)</t>
    </r>
  </si>
  <si>
    <r>
      <rPr>
        <b val="true"/>
        <sz val="14"/>
        <color rgb="FFFFFFFF"/>
        <rFont val="DejaVu Sans"/>
        <family val="2"/>
      </rPr>
      <t xml:space="preserve">월 금액</t>
    </r>
    <r>
      <rPr>
        <b val="true"/>
        <sz val="14"/>
        <color rgb="FFFFFFFF"/>
        <rFont val="Arial"/>
        <family val="0"/>
        <charset val="1"/>
      </rPr>
      <t xml:space="preserve">(USD)</t>
    </r>
  </si>
  <si>
    <t xml:space="preserve">주석</t>
  </si>
  <si>
    <r>
      <rPr>
        <sz val="10"/>
        <rFont val="DejaVu Sans"/>
        <family val="2"/>
      </rPr>
      <t xml:space="preserve">엔지니어 </t>
    </r>
    <r>
      <rPr>
        <sz val="10"/>
        <rFont val="Arial"/>
        <family val="0"/>
        <charset val="1"/>
      </rPr>
      <t xml:space="preserve">Platform</t>
    </r>
  </si>
  <si>
    <r>
      <rPr>
        <sz val="10"/>
        <rFont val="Arial"/>
        <family val="0"/>
        <charset val="1"/>
      </rPr>
      <t xml:space="preserve">FTE·</t>
    </r>
    <r>
      <rPr>
        <sz val="10"/>
        <rFont val="DejaVu Sans"/>
        <family val="2"/>
      </rPr>
      <t xml:space="preserve">개월</t>
    </r>
  </si>
  <si>
    <r>
      <rPr>
        <sz val="10"/>
        <rFont val="DejaVu Sans"/>
        <family val="2"/>
      </rPr>
      <t xml:space="preserve">풀스택</t>
    </r>
    <r>
      <rPr>
        <sz val="10"/>
        <rFont val="Arial"/>
        <family val="0"/>
        <charset val="1"/>
      </rPr>
      <t xml:space="preserve">, 4</t>
    </r>
    <r>
      <rPr>
        <sz val="10"/>
        <rFont val="DejaVu Sans"/>
        <family val="2"/>
      </rPr>
      <t xml:space="preserve">개월 투입 평균</t>
    </r>
  </si>
  <si>
    <r>
      <rPr>
        <sz val="10"/>
        <rFont val="DejaVu Sans"/>
        <family val="2"/>
      </rPr>
      <t xml:space="preserve">엔지니어 </t>
    </r>
    <r>
      <rPr>
        <sz val="10"/>
        <rFont val="Arial"/>
        <family val="0"/>
        <charset val="1"/>
      </rPr>
      <t xml:space="preserve">Backend</t>
    </r>
  </si>
  <si>
    <t xml:space="preserve">Repo/API</t>
  </si>
  <si>
    <r>
      <rPr>
        <sz val="10"/>
        <rFont val="DejaVu Sans"/>
        <family val="2"/>
      </rPr>
      <t xml:space="preserve">엔지니어 </t>
    </r>
    <r>
      <rPr>
        <sz val="10"/>
        <rFont val="Arial"/>
        <family val="0"/>
        <charset val="1"/>
      </rPr>
      <t xml:space="preserve">Frontend</t>
    </r>
  </si>
  <si>
    <t xml:space="preserve">React Flow Builder</t>
  </si>
  <si>
    <r>
      <rPr>
        <sz val="10"/>
        <rFont val="DejaVu Sans"/>
        <family val="2"/>
      </rPr>
      <t xml:space="preserve">엔지니어 </t>
    </r>
    <r>
      <rPr>
        <sz val="10"/>
        <rFont val="Arial"/>
        <family val="0"/>
        <charset val="1"/>
      </rPr>
      <t xml:space="preserve">SRE</t>
    </r>
  </si>
  <si>
    <t xml:space="preserve">Observability/Canary</t>
  </si>
  <si>
    <t xml:space="preserve">Product/Ops</t>
  </si>
  <si>
    <r>
      <rPr>
        <sz val="10"/>
        <rFont val="DejaVu Sans"/>
        <family val="2"/>
      </rPr>
      <t xml:space="preserve">문서</t>
    </r>
    <r>
      <rPr>
        <sz val="10"/>
        <rFont val="Arial"/>
        <family val="0"/>
        <charset val="1"/>
      </rPr>
      <t xml:space="preserve">/</t>
    </r>
    <r>
      <rPr>
        <sz val="10"/>
        <rFont val="DejaVu Sans"/>
        <family val="2"/>
      </rPr>
      <t xml:space="preserve">저작 가이드</t>
    </r>
  </si>
  <si>
    <r>
      <rPr>
        <sz val="10"/>
        <rFont val="Arial"/>
        <family val="0"/>
        <charset val="1"/>
      </rPr>
      <t xml:space="preserve">Security </t>
    </r>
    <r>
      <rPr>
        <sz val="10"/>
        <rFont val="DejaVu Sans"/>
        <family val="2"/>
      </rPr>
      <t xml:space="preserve">리뷰</t>
    </r>
  </si>
  <si>
    <t xml:space="preserve">Lump sum</t>
  </si>
  <si>
    <r>
      <rPr>
        <sz val="10"/>
        <rFont val="DejaVu Sans"/>
        <family val="2"/>
      </rPr>
      <t xml:space="preserve">외부 리뷰 </t>
    </r>
    <r>
      <rPr>
        <sz val="10"/>
        <rFont val="Arial"/>
        <family val="0"/>
        <charset val="1"/>
      </rPr>
      <t xml:space="preserve">+ </t>
    </r>
    <r>
      <rPr>
        <sz val="10"/>
        <rFont val="DejaVu Sans"/>
        <family val="2"/>
      </rPr>
      <t xml:space="preserve">내부 침투</t>
    </r>
  </si>
  <si>
    <r>
      <rPr>
        <sz val="10"/>
        <rFont val="Arial"/>
        <family val="0"/>
        <charset val="1"/>
      </rPr>
      <t xml:space="preserve">Redis </t>
    </r>
    <r>
      <rPr>
        <sz val="10"/>
        <rFont val="DejaVu Sans"/>
        <family val="2"/>
      </rPr>
      <t xml:space="preserve">스토리지 증분</t>
    </r>
  </si>
  <si>
    <t xml:space="preserve">월</t>
  </si>
  <si>
    <t xml:space="preserve">Checkpointer 24h TTL</t>
  </si>
  <si>
    <r>
      <rPr>
        <sz val="10"/>
        <rFont val="Arial"/>
        <family val="0"/>
        <charset val="1"/>
      </rPr>
      <t xml:space="preserve">Groq Intent </t>
    </r>
    <r>
      <rPr>
        <sz val="10"/>
        <rFont val="DejaVu Sans"/>
        <family val="2"/>
      </rPr>
      <t xml:space="preserve">호출 증분</t>
    </r>
  </si>
  <si>
    <r>
      <rPr>
        <sz val="10"/>
        <rFont val="Arial"/>
        <family val="0"/>
        <charset val="1"/>
      </rPr>
      <t xml:space="preserve">classify </t>
    </r>
    <r>
      <rPr>
        <sz val="10"/>
        <rFont val="DejaVu Sans"/>
        <family val="2"/>
      </rPr>
      <t xml:space="preserve">노드</t>
    </r>
  </si>
  <si>
    <r>
      <rPr>
        <sz val="10"/>
        <rFont val="Arial"/>
        <family val="0"/>
        <charset val="1"/>
      </rPr>
      <t xml:space="preserve">Mongo </t>
    </r>
    <r>
      <rPr>
        <sz val="10"/>
        <rFont val="DejaVu Sans"/>
        <family val="2"/>
      </rPr>
      <t xml:space="preserve">시나리오 스토어</t>
    </r>
  </si>
  <si>
    <t xml:space="preserve">버전 이력 포함</t>
  </si>
  <si>
    <t xml:space="preserve">관측 스택 증분</t>
  </si>
  <si>
    <r>
      <rPr>
        <sz val="10"/>
        <rFont val="Arial"/>
        <family val="0"/>
        <charset val="1"/>
      </rPr>
      <t xml:space="preserve">OTel + Grafana </t>
    </r>
    <r>
      <rPr>
        <sz val="10"/>
        <rFont val="DejaVu Sans"/>
        <family val="2"/>
      </rPr>
      <t xml:space="preserve">추가</t>
    </r>
  </si>
  <si>
    <r>
      <rPr>
        <sz val="10"/>
        <rFont val="Arial"/>
        <family val="0"/>
        <charset val="1"/>
      </rPr>
      <t xml:space="preserve">QA </t>
    </r>
    <r>
      <rPr>
        <sz val="10"/>
        <rFont val="DejaVu Sans"/>
        <family val="2"/>
      </rPr>
      <t xml:space="preserve">부하 테스트</t>
    </r>
  </si>
  <si>
    <r>
      <rPr>
        <sz val="10"/>
        <rFont val="Arial"/>
        <family val="0"/>
        <charset val="1"/>
      </rPr>
      <t xml:space="preserve">k6 </t>
    </r>
    <r>
      <rPr>
        <sz val="10"/>
        <rFont val="DejaVu Sans"/>
        <family val="2"/>
      </rPr>
      <t xml:space="preserve">환경</t>
    </r>
  </si>
  <si>
    <r>
      <rPr>
        <sz val="10"/>
        <rFont val="DejaVu Sans"/>
        <family val="2"/>
      </rPr>
      <t xml:space="preserve">버퍼</t>
    </r>
    <r>
      <rPr>
        <sz val="10"/>
        <rFont val="Arial"/>
        <family val="0"/>
        <charset val="1"/>
      </rPr>
      <t xml:space="preserve">(</t>
    </r>
    <r>
      <rPr>
        <sz val="10"/>
        <rFont val="DejaVu Sans"/>
        <family val="2"/>
      </rPr>
      <t xml:space="preserve">예비</t>
    </r>
    <r>
      <rPr>
        <sz val="10"/>
        <rFont val="Arial"/>
        <family val="0"/>
        <charset val="1"/>
      </rPr>
      <t xml:space="preserve">)</t>
    </r>
  </si>
  <si>
    <t xml:space="preserve">리스크 완충</t>
  </si>
  <si>
    <r>
      <rPr>
        <b val="true"/>
        <sz val="10"/>
        <rFont val="DejaVu Sans"/>
        <family val="2"/>
      </rPr>
      <t xml:space="preserve">전환 총계 </t>
    </r>
    <r>
      <rPr>
        <b val="true"/>
        <sz val="10"/>
        <rFont val="Arial"/>
        <family val="0"/>
        <charset val="1"/>
      </rPr>
      <t xml:space="preserve">(4</t>
    </r>
    <r>
      <rPr>
        <b val="true"/>
        <sz val="10"/>
        <rFont val="DejaVu Sans"/>
        <family val="2"/>
      </rPr>
      <t xml:space="preserve">개월</t>
    </r>
    <r>
      <rPr>
        <b val="true"/>
        <sz val="10"/>
        <rFont val="Arial"/>
        <family val="0"/>
        <charset val="1"/>
      </rPr>
      <t xml:space="preserve">)</t>
    </r>
  </si>
  <si>
    <r>
      <rPr>
        <b val="true"/>
        <sz val="10"/>
        <rFont val="Arial"/>
        <family val="0"/>
        <charset val="1"/>
      </rPr>
      <t xml:space="preserve">GA </t>
    </r>
    <r>
      <rPr>
        <b val="true"/>
        <sz val="10"/>
        <rFont val="DejaVu Sans"/>
        <family val="2"/>
      </rPr>
      <t xml:space="preserve">이후 월 운영비 </t>
    </r>
    <r>
      <rPr>
        <b val="true"/>
        <sz val="10"/>
        <rFont val="Arial"/>
        <family val="0"/>
        <charset val="1"/>
      </rPr>
      <t xml:space="preserve">(</t>
    </r>
    <r>
      <rPr>
        <b val="true"/>
        <sz val="10"/>
        <rFont val="DejaVu Sans"/>
        <family val="2"/>
      </rPr>
      <t xml:space="preserve">엔지니어 제외</t>
    </r>
    <r>
      <rPr>
        <b val="true"/>
        <sz val="10"/>
        <rFont val="Arial"/>
        <family val="0"/>
        <charset val="1"/>
      </rPr>
      <t xml:space="preserve">)</t>
    </r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</si>
</sst>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#,##0"/>
    <numFmt numFmtId="166" formatCode="#,##0;\(#,##0\);\-"/>
    <numFmt numFmtId="167" formatCode="#,##0.0"/>
    <numFmt numFmtId="168" formatCode="\$#,##0;&quot;($&quot;#,##0\);\-"/>
  </numFmts>
  <fonts count="1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1F497D"/>
      <name val="Arial"/>
      <family val="0"/>
      <charset val="1"/>
    </font>
    <font>
      <b val="true"/>
      <sz val="18"/>
      <color rgb="FF1F497D"/>
      <name val="DejaVu Sans"/>
      <family val="2"/>
    </font>
    <font>
      <b val="true"/>
      <sz val="10"/>
      <name val="DejaVu Sans"/>
      <family val="2"/>
    </font>
    <font>
      <sz val="10"/>
      <name val="Arial"/>
      <family val="0"/>
      <charset val="1"/>
    </font>
    <font>
      <sz val="10"/>
      <name val="DejaVu Sans"/>
      <family val="2"/>
    </font>
    <font>
      <b val="true"/>
      <sz val="10"/>
      <name val="Arial"/>
      <family val="0"/>
      <charset val="1"/>
    </font>
    <font>
      <b val="true"/>
      <sz val="11"/>
      <name val="DejaVu Sans"/>
      <family val="2"/>
    </font>
    <font>
      <b val="true"/>
      <sz val="11"/>
      <name val="Arial"/>
      <family val="0"/>
      <charset val="1"/>
    </font>
    <font>
      <b val="true"/>
      <sz val="14"/>
      <color rgb="FFFFFFFF"/>
      <name val="DejaVu Sans"/>
      <family val="2"/>
    </font>
    <font>
      <b val="true"/>
      <sz val="14"/>
      <color rgb="FFFFFFFF"/>
      <name val="Arial"/>
      <family val="0"/>
      <charset val="1"/>
    </font>
    <font>
      <sz val="10"/>
      <color rgb="FF0000FF"/>
      <name val="Arial"/>
      <family val="0"/>
      <charset val="1"/>
    </font>
    <font>
      <sz val="10"/>
      <color rgb="FF000000"/>
      <name val="Arial"/>
      <family val="0"/>
      <charset val="1"/>
    </font>
    <font>
      <sz val="10"/>
      <color rgb="FF008000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1F497D"/>
        <bgColor rgb="FF003366"/>
      </patternFill>
    </fill>
    <fill>
      <patternFill patternType="solid">
        <fgColor rgb="FFD9E1F2"/>
        <bgColor rgb="FFE2EFDA"/>
      </patternFill>
    </fill>
    <fill>
      <patternFill patternType="solid">
        <fgColor rgb="FFFFCCCC"/>
        <bgColor rgb="FFFFEBCD"/>
      </patternFill>
    </fill>
    <fill>
      <patternFill patternType="solid">
        <fgColor rgb="FFFFEBCD"/>
        <bgColor rgb="FFE2EFDA"/>
      </patternFill>
    </fill>
    <fill>
      <patternFill patternType="solid">
        <fgColor rgb="FFE2EFDA"/>
        <bgColor rgb="FFD9E1F2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2" fillId="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3" fillId="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14" fillId="0" borderId="1" xfId="0" applyFont="true" applyBorder="true" applyAlignment="true" applyProtection="true">
      <alignment horizontal="right" vertical="center" textRotation="0" wrapText="true" indent="0" shrinkToFit="false"/>
      <protection locked="true" hidden="false"/>
    </xf>
    <xf numFmtId="165" fontId="15" fillId="3" borderId="0" xfId="0" applyFont="true" applyBorder="false" applyAlignment="true" applyProtection="true">
      <alignment horizontal="right" vertical="center" textRotation="0" wrapText="true" indent="0" shrinkToFit="false"/>
      <protection locked="true" hidden="false"/>
    </xf>
    <xf numFmtId="164" fontId="11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9" fillId="4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14" fillId="0" borderId="1" xfId="0" applyFont="true" applyBorder="true" applyAlignment="true" applyProtection="true">
      <alignment horizontal="right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15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16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5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5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9" fillId="3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15" fillId="3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4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9" fillId="6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7" fontId="14" fillId="0" borderId="1" xfId="0" applyFont="true" applyBorder="true" applyAlignment="true" applyProtection="true">
      <alignment horizontal="right" vertical="center" textRotation="0" wrapText="true" indent="0" shrinkToFit="false"/>
      <protection locked="true" hidden="false"/>
    </xf>
    <xf numFmtId="168" fontId="14" fillId="0" borderId="1" xfId="0" applyFont="true" applyBorder="true" applyAlignment="true" applyProtection="true">
      <alignment horizontal="right" vertical="center" textRotation="0" wrapText="true" indent="0" shrinkToFit="false"/>
      <protection locked="true" hidden="false"/>
    </xf>
    <xf numFmtId="168" fontId="15" fillId="0" borderId="1" xfId="0" applyFont="true" applyBorder="true" applyAlignment="true" applyProtection="true">
      <alignment horizontal="right" vertical="center" textRotation="0" wrapText="true" indent="0" shrinkToFit="false"/>
      <protection locked="true" hidden="false"/>
    </xf>
    <xf numFmtId="164" fontId="6" fillId="3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15" fillId="3" borderId="1" xfId="0" applyFont="true" applyBorder="true" applyAlignment="true" applyProtection="true">
      <alignment horizontal="right" vertical="center" textRotation="0" wrapText="true" indent="0" shrinkToFit="false"/>
      <protection locked="true" hidden="false"/>
    </xf>
    <xf numFmtId="168" fontId="15" fillId="0" borderId="0" xfId="0" applyFont="true" applyBorder="false" applyAlignment="true" applyProtection="true">
      <alignment horizontal="righ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0B0B0"/>
      <rgbColor rgb="FF808080"/>
      <rgbColor rgb="FF9999FF"/>
      <rgbColor rgb="FF993366"/>
      <rgbColor rgb="FFFFEBCD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CC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97D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28"/>
    <col collapsed="false" customWidth="true" hidden="false" outlineLevel="0" max="2" min="2" style="1" width="34"/>
    <col collapsed="false" customWidth="true" hidden="false" outlineLevel="0" max="3" min="3" style="1" width="28"/>
    <col collapsed="false" customWidth="true" hidden="false" outlineLevel="0" max="4" min="4" style="1" width="34"/>
    <col collapsed="false" customWidth="true" hidden="false" outlineLevel="0" max="6" min="5" style="1" width="14"/>
  </cols>
  <sheetData>
    <row r="1" customFormat="false" ht="22.35" hidden="false" customHeight="false" outlineLevel="0" collapsed="false">
      <c r="A1" s="2" t="s">
        <v>0</v>
      </c>
      <c r="B1" s="2"/>
      <c r="C1" s="2"/>
      <c r="D1" s="2"/>
      <c r="E1" s="2"/>
      <c r="F1" s="2"/>
    </row>
    <row r="3" customFormat="false" ht="15" hidden="false" customHeight="false" outlineLevel="0" collapsed="false">
      <c r="A3" s="3" t="s">
        <v>1</v>
      </c>
      <c r="B3" s="4" t="s">
        <v>2</v>
      </c>
    </row>
    <row r="4" customFormat="false" ht="15" hidden="false" customHeight="false" outlineLevel="0" collapsed="false">
      <c r="A4" s="3" t="s">
        <v>3</v>
      </c>
      <c r="B4" s="4" t="s">
        <v>4</v>
      </c>
    </row>
    <row r="5" customFormat="false" ht="15" hidden="false" customHeight="false" outlineLevel="0" collapsed="false">
      <c r="A5" s="3" t="s">
        <v>5</v>
      </c>
      <c r="B5" s="4" t="s">
        <v>6</v>
      </c>
    </row>
    <row r="6" customFormat="false" ht="15" hidden="false" customHeight="false" outlineLevel="0" collapsed="false">
      <c r="A6" s="3" t="s">
        <v>7</v>
      </c>
      <c r="B6" s="4" t="s">
        <v>8</v>
      </c>
    </row>
    <row r="7" customFormat="false" ht="15" hidden="false" customHeight="false" outlineLevel="0" collapsed="false">
      <c r="A7" s="3" t="s">
        <v>9</v>
      </c>
      <c r="B7" s="4" t="s">
        <v>10</v>
      </c>
    </row>
    <row r="8" customFormat="false" ht="15" hidden="false" customHeight="false" outlineLevel="0" collapsed="false">
      <c r="A8" s="3" t="s">
        <v>11</v>
      </c>
      <c r="B8" s="4" t="s">
        <v>12</v>
      </c>
    </row>
    <row r="9" customFormat="false" ht="15" hidden="false" customHeight="false" outlineLevel="0" collapsed="false">
      <c r="A9" s="5" t="s">
        <v>13</v>
      </c>
      <c r="B9" s="4" t="s">
        <v>14</v>
      </c>
    </row>
    <row r="12" customFormat="false" ht="15" hidden="false" customHeight="false" outlineLevel="0" collapsed="false">
      <c r="A12" s="6" t="s">
        <v>15</v>
      </c>
    </row>
    <row r="13" customFormat="false" ht="24" hidden="false" customHeight="true" outlineLevel="0" collapsed="false">
      <c r="A13" s="7" t="s">
        <v>16</v>
      </c>
      <c r="B13" s="8" t="s">
        <v>17</v>
      </c>
      <c r="C13" s="7" t="s">
        <v>18</v>
      </c>
      <c r="D13" s="7" t="s">
        <v>19</v>
      </c>
    </row>
    <row r="14" customFormat="false" ht="15" hidden="false" customHeight="false" outlineLevel="0" collapsed="false">
      <c r="A14" s="9" t="s">
        <v>20</v>
      </c>
      <c r="B14" s="10" t="s">
        <v>21</v>
      </c>
      <c r="C14" s="10" t="s">
        <v>22</v>
      </c>
      <c r="D14" s="9" t="s">
        <v>23</v>
      </c>
    </row>
    <row r="15" customFormat="false" ht="15" hidden="false" customHeight="false" outlineLevel="0" collapsed="false">
      <c r="A15" s="9" t="s">
        <v>24</v>
      </c>
      <c r="B15" s="10" t="s">
        <v>25</v>
      </c>
      <c r="C15" s="10" t="s">
        <v>26</v>
      </c>
      <c r="D15" s="10" t="s">
        <v>27</v>
      </c>
    </row>
    <row r="16" customFormat="false" ht="15" hidden="false" customHeight="false" outlineLevel="0" collapsed="false">
      <c r="A16" s="9" t="s">
        <v>28</v>
      </c>
      <c r="B16" s="10" t="s">
        <v>29</v>
      </c>
      <c r="C16" s="10" t="s">
        <v>30</v>
      </c>
      <c r="D16" s="10" t="s">
        <v>31</v>
      </c>
    </row>
    <row r="17" customFormat="false" ht="15" hidden="false" customHeight="false" outlineLevel="0" collapsed="false">
      <c r="A17" s="9" t="s">
        <v>32</v>
      </c>
      <c r="B17" s="10" t="s">
        <v>33</v>
      </c>
      <c r="C17" s="10" t="s">
        <v>34</v>
      </c>
      <c r="D17" s="10" t="s">
        <v>35</v>
      </c>
    </row>
    <row r="18" customFormat="false" ht="15" hidden="false" customHeight="false" outlineLevel="0" collapsed="false">
      <c r="A18" s="9" t="s">
        <v>36</v>
      </c>
      <c r="B18" s="10" t="s">
        <v>37</v>
      </c>
      <c r="C18" s="10" t="s">
        <v>38</v>
      </c>
      <c r="D18" s="10" t="s">
        <v>39</v>
      </c>
    </row>
    <row r="21" customFormat="false" ht="15" hidden="false" customHeight="false" outlineLevel="0" collapsed="false">
      <c r="A21" s="6" t="s">
        <v>40</v>
      </c>
    </row>
    <row r="22" customFormat="false" ht="24" hidden="false" customHeight="true" outlineLevel="0" collapsed="false">
      <c r="A22" s="7" t="s">
        <v>41</v>
      </c>
      <c r="B22" s="7" t="s">
        <v>42</v>
      </c>
      <c r="C22" s="7" t="s">
        <v>43</v>
      </c>
    </row>
    <row r="23" customFormat="false" ht="15" hidden="false" customHeight="false" outlineLevel="0" collapsed="false">
      <c r="A23" s="9" t="s">
        <v>44</v>
      </c>
      <c r="B23" s="10" t="s">
        <v>45</v>
      </c>
      <c r="C23" s="9" t="s">
        <v>46</v>
      </c>
    </row>
    <row r="24" customFormat="false" ht="15" hidden="false" customHeight="false" outlineLevel="0" collapsed="false">
      <c r="A24" s="9" t="s">
        <v>47</v>
      </c>
      <c r="B24" s="10" t="s">
        <v>48</v>
      </c>
      <c r="C24" s="9" t="s">
        <v>49</v>
      </c>
    </row>
    <row r="25" customFormat="false" ht="15" hidden="false" customHeight="false" outlineLevel="0" collapsed="false">
      <c r="A25" s="10" t="s">
        <v>50</v>
      </c>
      <c r="B25" s="10" t="s">
        <v>51</v>
      </c>
      <c r="C25" s="10" t="s">
        <v>52</v>
      </c>
    </row>
    <row r="26" customFormat="false" ht="15" hidden="false" customHeight="false" outlineLevel="0" collapsed="false">
      <c r="A26" s="10" t="s">
        <v>53</v>
      </c>
      <c r="B26" s="10" t="s">
        <v>54</v>
      </c>
      <c r="C26" s="10" t="s">
        <v>55</v>
      </c>
    </row>
  </sheetData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8"/>
    <col collapsed="false" customWidth="true" hidden="false" outlineLevel="0" max="3" min="2" style="1" width="13"/>
    <col collapsed="false" customWidth="true" hidden="false" outlineLevel="0" max="4" min="4" style="1" width="22"/>
    <col collapsed="false" customWidth="true" hidden="false" outlineLevel="0" max="5" min="5" style="1" width="60"/>
    <col collapsed="false" customWidth="true" hidden="false" outlineLevel="0" max="6" min="6" style="1" width="28"/>
    <col collapsed="false" customWidth="true" hidden="false" outlineLevel="0" max="7" min="7" style="1" width="12"/>
    <col collapsed="false" customWidth="true" hidden="false" outlineLevel="0" max="8" min="8" style="1" width="14"/>
  </cols>
  <sheetData>
    <row r="1" customFormat="false" ht="24" hidden="false" customHeight="true" outlineLevel="0" collapsed="false">
      <c r="A1" s="8" t="s">
        <v>56</v>
      </c>
      <c r="B1" s="8" t="s">
        <v>57</v>
      </c>
      <c r="C1" s="8" t="s">
        <v>58</v>
      </c>
      <c r="D1" s="8" t="s">
        <v>59</v>
      </c>
      <c r="E1" s="8" t="s">
        <v>60</v>
      </c>
      <c r="F1" s="8" t="s">
        <v>61</v>
      </c>
      <c r="G1" s="8" t="s">
        <v>62</v>
      </c>
      <c r="H1" s="8" t="s">
        <v>63</v>
      </c>
    </row>
    <row r="2" customFormat="false" ht="15" hidden="false" customHeight="false" outlineLevel="0" collapsed="false">
      <c r="A2" s="10" t="s">
        <v>64</v>
      </c>
      <c r="B2" s="10" t="s">
        <v>12</v>
      </c>
      <c r="C2" s="10" t="s">
        <v>65</v>
      </c>
      <c r="D2" s="10" t="s">
        <v>66</v>
      </c>
      <c r="E2" s="10" t="s">
        <v>67</v>
      </c>
      <c r="F2" s="10" t="s">
        <v>68</v>
      </c>
      <c r="G2" s="11" t="n">
        <v>22</v>
      </c>
      <c r="H2" s="10" t="s">
        <v>69</v>
      </c>
    </row>
    <row r="3" customFormat="false" ht="15" hidden="false" customHeight="false" outlineLevel="0" collapsed="false">
      <c r="A3" s="10" t="s">
        <v>70</v>
      </c>
      <c r="B3" s="10" t="s">
        <v>71</v>
      </c>
      <c r="C3" s="10" t="s">
        <v>72</v>
      </c>
      <c r="D3" s="10" t="s">
        <v>73</v>
      </c>
      <c r="E3" s="10" t="s">
        <v>74</v>
      </c>
      <c r="F3" s="9" t="s">
        <v>75</v>
      </c>
      <c r="G3" s="11" t="n">
        <v>28</v>
      </c>
      <c r="H3" s="10" t="s">
        <v>69</v>
      </c>
    </row>
    <row r="4" customFormat="false" ht="15" hidden="false" customHeight="false" outlineLevel="0" collapsed="false">
      <c r="A4" s="10" t="s">
        <v>76</v>
      </c>
      <c r="B4" s="10" t="s">
        <v>77</v>
      </c>
      <c r="C4" s="10" t="s">
        <v>78</v>
      </c>
      <c r="D4" s="10" t="s">
        <v>79</v>
      </c>
      <c r="E4" s="10" t="s">
        <v>80</v>
      </c>
      <c r="F4" s="9" t="s">
        <v>81</v>
      </c>
      <c r="G4" s="11" t="n">
        <v>26</v>
      </c>
      <c r="H4" s="10" t="s">
        <v>82</v>
      </c>
    </row>
    <row r="5" customFormat="false" ht="15" hidden="false" customHeight="false" outlineLevel="0" collapsed="false">
      <c r="A5" s="10" t="s">
        <v>83</v>
      </c>
      <c r="B5" s="10" t="s">
        <v>84</v>
      </c>
      <c r="C5" s="10" t="s">
        <v>85</v>
      </c>
      <c r="D5" s="10" t="s">
        <v>86</v>
      </c>
      <c r="E5" s="10" t="s">
        <v>87</v>
      </c>
      <c r="F5" s="9" t="s">
        <v>88</v>
      </c>
      <c r="G5" s="11" t="n">
        <v>30</v>
      </c>
      <c r="H5" s="10" t="s">
        <v>89</v>
      </c>
    </row>
    <row r="6" customFormat="false" ht="15" hidden="false" customHeight="false" outlineLevel="0" collapsed="false">
      <c r="A6" s="10" t="s">
        <v>90</v>
      </c>
      <c r="B6" s="10" t="s">
        <v>91</v>
      </c>
      <c r="C6" s="10" t="s">
        <v>92</v>
      </c>
      <c r="D6" s="10" t="s">
        <v>93</v>
      </c>
      <c r="E6" s="10" t="s">
        <v>94</v>
      </c>
      <c r="F6" s="9" t="s">
        <v>95</v>
      </c>
      <c r="G6" s="11" t="n">
        <v>28</v>
      </c>
      <c r="H6" s="10" t="s">
        <v>96</v>
      </c>
    </row>
    <row r="7" customFormat="false" ht="15" hidden="false" customHeight="false" outlineLevel="0" collapsed="false">
      <c r="A7" s="10" t="s">
        <v>97</v>
      </c>
      <c r="B7" s="10" t="s">
        <v>98</v>
      </c>
      <c r="C7" s="10" t="s">
        <v>99</v>
      </c>
      <c r="D7" s="10" t="s">
        <v>100</v>
      </c>
      <c r="E7" s="10" t="s">
        <v>101</v>
      </c>
      <c r="F7" s="10" t="s">
        <v>102</v>
      </c>
      <c r="G7" s="11" t="n">
        <v>26</v>
      </c>
      <c r="H7" s="10" t="s">
        <v>103</v>
      </c>
    </row>
    <row r="8" customFormat="false" ht="15" hidden="false" customHeight="false" outlineLevel="0" collapsed="false">
      <c r="A8" s="10" t="s">
        <v>104</v>
      </c>
      <c r="B8" s="10" t="s">
        <v>105</v>
      </c>
      <c r="C8" s="10" t="s">
        <v>106</v>
      </c>
      <c r="D8" s="10" t="s">
        <v>107</v>
      </c>
      <c r="E8" s="9" t="s">
        <v>108</v>
      </c>
      <c r="F8" s="9" t="s">
        <v>109</v>
      </c>
      <c r="G8" s="11" t="n">
        <v>24</v>
      </c>
      <c r="H8" s="10" t="s">
        <v>110</v>
      </c>
    </row>
    <row r="9" customFormat="false" ht="15" hidden="false" customHeight="false" outlineLevel="0" collapsed="false">
      <c r="A9" s="10" t="s">
        <v>111</v>
      </c>
      <c r="B9" s="10" t="s">
        <v>112</v>
      </c>
      <c r="C9" s="10" t="s">
        <v>113</v>
      </c>
      <c r="D9" s="10" t="s">
        <v>114</v>
      </c>
      <c r="E9" s="9" t="s">
        <v>115</v>
      </c>
      <c r="F9" s="10" t="s">
        <v>116</v>
      </c>
      <c r="G9" s="11" t="n">
        <v>20</v>
      </c>
      <c r="H9" s="10" t="s">
        <v>110</v>
      </c>
    </row>
    <row r="10" customFormat="false" ht="15" hidden="false" customHeight="false" outlineLevel="0" collapsed="false">
      <c r="A10" s="3" t="s">
        <v>117</v>
      </c>
      <c r="G10" s="12" t="n">
        <f aca="false">SUM(G2:G9)</f>
        <v>204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9"/>
    <col collapsed="false" customWidth="true" hidden="false" outlineLevel="0" max="3" min="2" style="1" width="8"/>
    <col collapsed="false" customWidth="true" hidden="false" outlineLevel="0" max="4" min="4" style="1" width="14"/>
    <col collapsed="false" customWidth="true" hidden="false" outlineLevel="0" max="5" min="5" style="1" width="46"/>
    <col collapsed="false" customWidth="true" hidden="false" outlineLevel="0" max="6" min="6" style="1" width="12"/>
    <col collapsed="false" customWidth="true" hidden="false" outlineLevel="0" max="7" min="7" style="1" width="10"/>
    <col collapsed="false" customWidth="true" hidden="false" outlineLevel="0" max="8" min="8" style="1" width="11"/>
    <col collapsed="false" customWidth="true" hidden="false" outlineLevel="0" max="9" min="9" style="1" width="14"/>
    <col collapsed="false" customWidth="true" hidden="false" outlineLevel="0" max="10" min="10" style="1" width="6"/>
    <col collapsed="false" customWidth="true" hidden="false" outlineLevel="0" max="11" min="11" style="1" width="18"/>
    <col collapsed="false" customWidth="true" hidden="false" outlineLevel="0" max="12" min="12" style="1" width="3"/>
    <col collapsed="false" customWidth="true" hidden="false" outlineLevel="0" max="13" min="13" style="1" width="9"/>
    <col collapsed="false" customWidth="true" hidden="false" outlineLevel="0" max="14" min="14" style="1" width="12"/>
    <col collapsed="false" customWidth="true" hidden="false" outlineLevel="0" max="15" min="15" style="1" width="10"/>
    <col collapsed="false" customWidth="true" hidden="false" outlineLevel="0" max="16" min="16" style="1" width="8"/>
  </cols>
  <sheetData>
    <row r="1" customFormat="false" ht="24" hidden="false" customHeight="true" outlineLevel="0" collapsed="false">
      <c r="A1" s="8" t="s">
        <v>118</v>
      </c>
      <c r="B1" s="8" t="s">
        <v>56</v>
      </c>
      <c r="C1" s="8" t="s">
        <v>119</v>
      </c>
      <c r="D1" s="8" t="s">
        <v>120</v>
      </c>
      <c r="E1" s="8" t="s">
        <v>121</v>
      </c>
      <c r="F1" s="8" t="s">
        <v>122</v>
      </c>
      <c r="G1" s="8" t="s">
        <v>62</v>
      </c>
      <c r="H1" s="8" t="s">
        <v>123</v>
      </c>
      <c r="I1" s="8" t="s">
        <v>124</v>
      </c>
      <c r="J1" s="8" t="s">
        <v>125</v>
      </c>
      <c r="K1" s="8" t="s">
        <v>126</v>
      </c>
      <c r="M1" s="13" t="s">
        <v>127</v>
      </c>
    </row>
    <row r="2" customFormat="false" ht="15" hidden="false" customHeight="false" outlineLevel="0" collapsed="false">
      <c r="A2" s="10" t="s">
        <v>128</v>
      </c>
      <c r="B2" s="10" t="s">
        <v>64</v>
      </c>
      <c r="C2" s="14" t="s">
        <v>129</v>
      </c>
      <c r="D2" s="10" t="s">
        <v>66</v>
      </c>
      <c r="E2" s="10" t="s">
        <v>130</v>
      </c>
      <c r="F2" s="10" t="s">
        <v>69</v>
      </c>
      <c r="G2" s="15" t="n">
        <v>1</v>
      </c>
      <c r="H2" s="10" t="s">
        <v>131</v>
      </c>
      <c r="I2" s="10"/>
      <c r="J2" s="10" t="s">
        <v>132</v>
      </c>
      <c r="K2" s="10" t="s">
        <v>133</v>
      </c>
      <c r="M2" s="16" t="s">
        <v>56</v>
      </c>
      <c r="N2" s="16" t="s">
        <v>134</v>
      </c>
      <c r="O2" s="16" t="s">
        <v>135</v>
      </c>
      <c r="P2" s="16" t="s">
        <v>136</v>
      </c>
    </row>
    <row r="3" customFormat="false" ht="15" hidden="false" customHeight="false" outlineLevel="0" collapsed="false">
      <c r="A3" s="10" t="s">
        <v>137</v>
      </c>
      <c r="B3" s="10" t="s">
        <v>64</v>
      </c>
      <c r="C3" s="14" t="s">
        <v>129</v>
      </c>
      <c r="D3" s="10" t="s">
        <v>66</v>
      </c>
      <c r="E3" s="10" t="s">
        <v>138</v>
      </c>
      <c r="F3" s="10" t="s">
        <v>69</v>
      </c>
      <c r="G3" s="15" t="n">
        <v>2</v>
      </c>
      <c r="H3" s="10" t="s">
        <v>131</v>
      </c>
      <c r="I3" s="10" t="s">
        <v>128</v>
      </c>
      <c r="J3" s="10" t="s">
        <v>132</v>
      </c>
      <c r="K3" s="10"/>
      <c r="M3" s="16" t="s">
        <v>64</v>
      </c>
      <c r="N3" s="17" t="n">
        <f aca="false">SUMIF(B2:B51,M3,G2:G51)</f>
        <v>12</v>
      </c>
      <c r="O3" s="18" t="n">
        <f aca="false">Sprints!G2</f>
        <v>22</v>
      </c>
      <c r="P3" s="19" t="n">
        <f aca="false">N3-O3</f>
        <v>-10</v>
      </c>
    </row>
    <row r="4" customFormat="false" ht="15" hidden="false" customHeight="false" outlineLevel="0" collapsed="false">
      <c r="A4" s="10" t="s">
        <v>139</v>
      </c>
      <c r="B4" s="10" t="s">
        <v>64</v>
      </c>
      <c r="C4" s="14" t="s">
        <v>129</v>
      </c>
      <c r="D4" s="10" t="s">
        <v>66</v>
      </c>
      <c r="E4" s="10" t="s">
        <v>140</v>
      </c>
      <c r="F4" s="10" t="s">
        <v>69</v>
      </c>
      <c r="G4" s="15" t="n">
        <v>3</v>
      </c>
      <c r="H4" s="10" t="s">
        <v>131</v>
      </c>
      <c r="I4" s="10" t="s">
        <v>137</v>
      </c>
      <c r="J4" s="10" t="s">
        <v>132</v>
      </c>
      <c r="K4" s="10" t="s">
        <v>141</v>
      </c>
      <c r="M4" s="16" t="s">
        <v>70</v>
      </c>
      <c r="N4" s="17" t="n">
        <f aca="false">SUMIF(B2:B51,M4,G2:G51)</f>
        <v>20</v>
      </c>
      <c r="O4" s="18" t="n">
        <f aca="false">Sprints!G3</f>
        <v>28</v>
      </c>
      <c r="P4" s="19" t="n">
        <f aca="false">N4-O4</f>
        <v>-8</v>
      </c>
    </row>
    <row r="5" customFormat="false" ht="15" hidden="false" customHeight="false" outlineLevel="0" collapsed="false">
      <c r="A5" s="10" t="s">
        <v>142</v>
      </c>
      <c r="B5" s="10" t="s">
        <v>64</v>
      </c>
      <c r="C5" s="14" t="s">
        <v>129</v>
      </c>
      <c r="D5" s="10" t="s">
        <v>66</v>
      </c>
      <c r="E5" s="9" t="s">
        <v>143</v>
      </c>
      <c r="F5" s="10" t="s">
        <v>69</v>
      </c>
      <c r="G5" s="15" t="n">
        <v>2</v>
      </c>
      <c r="H5" s="10" t="s">
        <v>131</v>
      </c>
      <c r="I5" s="10" t="s">
        <v>137</v>
      </c>
      <c r="J5" s="10" t="s">
        <v>132</v>
      </c>
      <c r="K5" s="10"/>
      <c r="M5" s="16" t="s">
        <v>76</v>
      </c>
      <c r="N5" s="17" t="n">
        <f aca="false">SUMIF(B2:B51,M5,G2:G51)</f>
        <v>18</v>
      </c>
      <c r="O5" s="18" t="n">
        <f aca="false">Sprints!G4</f>
        <v>26</v>
      </c>
      <c r="P5" s="19" t="n">
        <f aca="false">N5-O5</f>
        <v>-8</v>
      </c>
    </row>
    <row r="6" customFormat="false" ht="15" hidden="false" customHeight="false" outlineLevel="0" collapsed="false">
      <c r="A6" s="10" t="s">
        <v>144</v>
      </c>
      <c r="B6" s="10" t="s">
        <v>64</v>
      </c>
      <c r="C6" s="20" t="s">
        <v>145</v>
      </c>
      <c r="D6" s="10" t="s">
        <v>66</v>
      </c>
      <c r="E6" s="9" t="s">
        <v>146</v>
      </c>
      <c r="F6" s="10" t="s">
        <v>69</v>
      </c>
      <c r="G6" s="15" t="n">
        <v>3</v>
      </c>
      <c r="H6" s="10" t="s">
        <v>131</v>
      </c>
      <c r="I6" s="10" t="s">
        <v>147</v>
      </c>
      <c r="J6" s="10" t="s">
        <v>132</v>
      </c>
      <c r="K6" s="10"/>
      <c r="M6" s="16" t="s">
        <v>83</v>
      </c>
      <c r="N6" s="17" t="n">
        <f aca="false">SUMIF(B2:B51,M6,G2:G51)</f>
        <v>22</v>
      </c>
      <c r="O6" s="18" t="n">
        <f aca="false">Sprints!G5</f>
        <v>30</v>
      </c>
      <c r="P6" s="19" t="n">
        <f aca="false">N6-O6</f>
        <v>-8</v>
      </c>
    </row>
    <row r="7" customFormat="false" ht="15" hidden="false" customHeight="false" outlineLevel="0" collapsed="false">
      <c r="A7" s="10" t="s">
        <v>148</v>
      </c>
      <c r="B7" s="10" t="s">
        <v>64</v>
      </c>
      <c r="C7" s="20" t="s">
        <v>145</v>
      </c>
      <c r="D7" s="10" t="s">
        <v>66</v>
      </c>
      <c r="E7" s="9" t="s">
        <v>149</v>
      </c>
      <c r="F7" s="10" t="s">
        <v>69</v>
      </c>
      <c r="G7" s="15" t="n">
        <v>1</v>
      </c>
      <c r="H7" s="10" t="s">
        <v>131</v>
      </c>
      <c r="I7" s="10" t="s">
        <v>142</v>
      </c>
      <c r="J7" s="10" t="s">
        <v>132</v>
      </c>
      <c r="K7" s="10"/>
      <c r="M7" s="16" t="s">
        <v>90</v>
      </c>
      <c r="N7" s="17" t="n">
        <f aca="false">SUMIF(B2:B51,M7,G2:G51)</f>
        <v>19</v>
      </c>
      <c r="O7" s="18" t="n">
        <f aca="false">Sprints!G6</f>
        <v>28</v>
      </c>
      <c r="P7" s="19" t="n">
        <f aca="false">N7-O7</f>
        <v>-9</v>
      </c>
    </row>
    <row r="8" customFormat="false" ht="15" hidden="false" customHeight="false" outlineLevel="0" collapsed="false">
      <c r="A8" s="10" t="s">
        <v>150</v>
      </c>
      <c r="B8" s="10" t="s">
        <v>70</v>
      </c>
      <c r="C8" s="14" t="s">
        <v>129</v>
      </c>
      <c r="D8" s="10" t="s">
        <v>151</v>
      </c>
      <c r="E8" s="10" t="s">
        <v>152</v>
      </c>
      <c r="F8" s="10" t="s">
        <v>69</v>
      </c>
      <c r="G8" s="15" t="n">
        <v>4</v>
      </c>
      <c r="H8" s="10" t="s">
        <v>131</v>
      </c>
      <c r="I8" s="10" t="s">
        <v>147</v>
      </c>
      <c r="J8" s="10" t="s">
        <v>153</v>
      </c>
      <c r="K8" s="10" t="s">
        <v>154</v>
      </c>
      <c r="M8" s="16" t="s">
        <v>97</v>
      </c>
      <c r="N8" s="17" t="n">
        <f aca="false">SUMIF(B2:B51,M8,G2:G51)</f>
        <v>16</v>
      </c>
      <c r="O8" s="18" t="n">
        <f aca="false">Sprints!G7</f>
        <v>26</v>
      </c>
      <c r="P8" s="19" t="n">
        <f aca="false">N8-O8</f>
        <v>-10</v>
      </c>
    </row>
    <row r="9" customFormat="false" ht="15" hidden="false" customHeight="false" outlineLevel="0" collapsed="false">
      <c r="A9" s="10" t="s">
        <v>155</v>
      </c>
      <c r="B9" s="10" t="s">
        <v>70</v>
      </c>
      <c r="C9" s="14" t="s">
        <v>129</v>
      </c>
      <c r="D9" s="10" t="s">
        <v>151</v>
      </c>
      <c r="E9" s="10" t="s">
        <v>156</v>
      </c>
      <c r="F9" s="10" t="s">
        <v>69</v>
      </c>
      <c r="G9" s="15" t="n">
        <v>2</v>
      </c>
      <c r="H9" s="10" t="s">
        <v>131</v>
      </c>
      <c r="I9" s="10" t="s">
        <v>150</v>
      </c>
      <c r="J9" s="10" t="s">
        <v>132</v>
      </c>
      <c r="K9" s="10"/>
      <c r="M9" s="16" t="s">
        <v>104</v>
      </c>
      <c r="N9" s="17" t="n">
        <f aca="false">SUMIF(B2:B51,M9,G2:G51)</f>
        <v>13</v>
      </c>
      <c r="O9" s="18" t="n">
        <f aca="false">Sprints!G8</f>
        <v>24</v>
      </c>
      <c r="P9" s="19" t="n">
        <f aca="false">N9-O9</f>
        <v>-11</v>
      </c>
    </row>
    <row r="10" customFormat="false" ht="15" hidden="false" customHeight="false" outlineLevel="0" collapsed="false">
      <c r="A10" s="10" t="s">
        <v>157</v>
      </c>
      <c r="B10" s="10" t="s">
        <v>70</v>
      </c>
      <c r="C10" s="14" t="s">
        <v>129</v>
      </c>
      <c r="D10" s="10" t="s">
        <v>158</v>
      </c>
      <c r="E10" s="10" t="s">
        <v>159</v>
      </c>
      <c r="F10" s="10" t="s">
        <v>69</v>
      </c>
      <c r="G10" s="15" t="n">
        <v>4</v>
      </c>
      <c r="H10" s="10" t="s">
        <v>131</v>
      </c>
      <c r="I10" s="10" t="s">
        <v>150</v>
      </c>
      <c r="J10" s="10" t="s">
        <v>153</v>
      </c>
      <c r="K10" s="10"/>
      <c r="M10" s="16" t="s">
        <v>111</v>
      </c>
      <c r="N10" s="17" t="n">
        <f aca="false">SUMIF(B2:B51,M10,G2:G51)</f>
        <v>13</v>
      </c>
      <c r="O10" s="18" t="n">
        <f aca="false">Sprints!G9</f>
        <v>20</v>
      </c>
      <c r="P10" s="19" t="n">
        <f aca="false">N10-O10</f>
        <v>-7</v>
      </c>
    </row>
    <row r="11" customFormat="false" ht="15" hidden="false" customHeight="false" outlineLevel="0" collapsed="false">
      <c r="A11" s="10" t="s">
        <v>160</v>
      </c>
      <c r="B11" s="10" t="s">
        <v>70</v>
      </c>
      <c r="C11" s="14" t="s">
        <v>129</v>
      </c>
      <c r="D11" s="10" t="s">
        <v>158</v>
      </c>
      <c r="E11" s="10" t="s">
        <v>161</v>
      </c>
      <c r="F11" s="10" t="s">
        <v>69</v>
      </c>
      <c r="G11" s="15" t="n">
        <v>3</v>
      </c>
      <c r="H11" s="10" t="s">
        <v>131</v>
      </c>
      <c r="I11" s="10" t="s">
        <v>157</v>
      </c>
      <c r="J11" s="10" t="s">
        <v>153</v>
      </c>
      <c r="K11" s="9" t="s">
        <v>162</v>
      </c>
      <c r="M11" s="21" t="s">
        <v>163</v>
      </c>
      <c r="N11" s="22" t="n">
        <f aca="false">SUM(N3:N10)</f>
        <v>133</v>
      </c>
      <c r="O11" s="22" t="n">
        <f aca="false">SUM(O3:O10)</f>
        <v>204</v>
      </c>
      <c r="P11" s="22" t="n">
        <f aca="false">N11-O11</f>
        <v>-71</v>
      </c>
    </row>
    <row r="12" customFormat="false" ht="15" hidden="false" customHeight="false" outlineLevel="0" collapsed="false">
      <c r="A12" s="10" t="s">
        <v>164</v>
      </c>
      <c r="B12" s="10" t="s">
        <v>70</v>
      </c>
      <c r="C12" s="14" t="s">
        <v>129</v>
      </c>
      <c r="D12" s="10" t="s">
        <v>158</v>
      </c>
      <c r="E12" s="10" t="s">
        <v>165</v>
      </c>
      <c r="F12" s="10" t="s">
        <v>69</v>
      </c>
      <c r="G12" s="15" t="n">
        <v>3</v>
      </c>
      <c r="H12" s="10" t="s">
        <v>131</v>
      </c>
      <c r="I12" s="10" t="s">
        <v>157</v>
      </c>
      <c r="J12" s="10" t="s">
        <v>153</v>
      </c>
      <c r="K12" s="10" t="s">
        <v>166</v>
      </c>
    </row>
    <row r="13" customFormat="false" ht="15" hidden="false" customHeight="false" outlineLevel="0" collapsed="false">
      <c r="A13" s="10" t="s">
        <v>167</v>
      </c>
      <c r="B13" s="10" t="s">
        <v>70</v>
      </c>
      <c r="C13" s="20" t="s">
        <v>145</v>
      </c>
      <c r="D13" s="10" t="s">
        <v>158</v>
      </c>
      <c r="E13" s="10" t="s">
        <v>168</v>
      </c>
      <c r="F13" s="10" t="s">
        <v>69</v>
      </c>
      <c r="G13" s="15" t="n">
        <v>2</v>
      </c>
      <c r="H13" s="10" t="s">
        <v>131</v>
      </c>
      <c r="I13" s="10" t="s">
        <v>160</v>
      </c>
      <c r="J13" s="10" t="s">
        <v>153</v>
      </c>
      <c r="K13" s="10"/>
    </row>
    <row r="14" customFormat="false" ht="15" hidden="false" customHeight="false" outlineLevel="0" collapsed="false">
      <c r="A14" s="10" t="s">
        <v>169</v>
      </c>
      <c r="B14" s="10" t="s">
        <v>70</v>
      </c>
      <c r="C14" s="20" t="s">
        <v>145</v>
      </c>
      <c r="D14" s="10" t="s">
        <v>158</v>
      </c>
      <c r="E14" s="9" t="s">
        <v>170</v>
      </c>
      <c r="F14" s="10" t="s">
        <v>69</v>
      </c>
      <c r="G14" s="15" t="n">
        <v>2</v>
      </c>
      <c r="H14" s="10" t="s">
        <v>131</v>
      </c>
      <c r="I14" s="10" t="s">
        <v>171</v>
      </c>
      <c r="J14" s="10" t="s">
        <v>132</v>
      </c>
      <c r="K14" s="10"/>
    </row>
    <row r="15" customFormat="false" ht="15" hidden="false" customHeight="false" outlineLevel="0" collapsed="false">
      <c r="A15" s="10" t="s">
        <v>172</v>
      </c>
      <c r="B15" s="10" t="s">
        <v>76</v>
      </c>
      <c r="C15" s="14" t="s">
        <v>129</v>
      </c>
      <c r="D15" s="10" t="s">
        <v>173</v>
      </c>
      <c r="E15" s="10" t="s">
        <v>174</v>
      </c>
      <c r="F15" s="10" t="s">
        <v>82</v>
      </c>
      <c r="G15" s="15" t="n">
        <v>3</v>
      </c>
      <c r="H15" s="10" t="s">
        <v>131</v>
      </c>
      <c r="I15" s="10" t="s">
        <v>139</v>
      </c>
      <c r="J15" s="10" t="s">
        <v>132</v>
      </c>
      <c r="K15" s="10" t="s">
        <v>175</v>
      </c>
    </row>
    <row r="16" customFormat="false" ht="15" hidden="false" customHeight="false" outlineLevel="0" collapsed="false">
      <c r="A16" s="10" t="s">
        <v>176</v>
      </c>
      <c r="B16" s="10" t="s">
        <v>76</v>
      </c>
      <c r="C16" s="14" t="s">
        <v>129</v>
      </c>
      <c r="D16" s="10" t="s">
        <v>173</v>
      </c>
      <c r="E16" s="10" t="s">
        <v>177</v>
      </c>
      <c r="F16" s="10" t="s">
        <v>82</v>
      </c>
      <c r="G16" s="15" t="n">
        <v>3</v>
      </c>
      <c r="H16" s="10" t="s">
        <v>131</v>
      </c>
      <c r="I16" s="10" t="s">
        <v>178</v>
      </c>
      <c r="J16" s="10" t="s">
        <v>153</v>
      </c>
      <c r="K16" s="10"/>
    </row>
    <row r="17" customFormat="false" ht="23.85" hidden="false" customHeight="false" outlineLevel="0" collapsed="false">
      <c r="A17" s="10" t="s">
        <v>179</v>
      </c>
      <c r="B17" s="10" t="s">
        <v>76</v>
      </c>
      <c r="C17" s="14" t="s">
        <v>129</v>
      </c>
      <c r="D17" s="10" t="s">
        <v>180</v>
      </c>
      <c r="E17" s="10" t="s">
        <v>181</v>
      </c>
      <c r="F17" s="10" t="s">
        <v>82</v>
      </c>
      <c r="G17" s="15" t="n">
        <v>3</v>
      </c>
      <c r="H17" s="10" t="s">
        <v>131</v>
      </c>
      <c r="I17" s="10" t="s">
        <v>172</v>
      </c>
      <c r="J17" s="10" t="s">
        <v>153</v>
      </c>
      <c r="K17" s="10" t="s">
        <v>182</v>
      </c>
    </row>
    <row r="18" customFormat="false" ht="15" hidden="false" customHeight="false" outlineLevel="0" collapsed="false">
      <c r="A18" s="10" t="s">
        <v>183</v>
      </c>
      <c r="B18" s="10" t="s">
        <v>76</v>
      </c>
      <c r="C18" s="14" t="s">
        <v>129</v>
      </c>
      <c r="D18" s="10" t="s">
        <v>180</v>
      </c>
      <c r="E18" s="10" t="s">
        <v>184</v>
      </c>
      <c r="F18" s="10" t="s">
        <v>82</v>
      </c>
      <c r="G18" s="15" t="n">
        <v>3</v>
      </c>
      <c r="H18" s="10" t="s">
        <v>131</v>
      </c>
      <c r="I18" s="10" t="s">
        <v>176</v>
      </c>
      <c r="J18" s="10" t="s">
        <v>153</v>
      </c>
      <c r="K18" s="10"/>
    </row>
    <row r="19" customFormat="false" ht="15" hidden="false" customHeight="false" outlineLevel="0" collapsed="false">
      <c r="A19" s="10" t="s">
        <v>185</v>
      </c>
      <c r="B19" s="10" t="s">
        <v>76</v>
      </c>
      <c r="C19" s="14" t="s">
        <v>129</v>
      </c>
      <c r="D19" s="10" t="s">
        <v>180</v>
      </c>
      <c r="E19" s="9" t="s">
        <v>186</v>
      </c>
      <c r="F19" s="10" t="s">
        <v>82</v>
      </c>
      <c r="G19" s="15" t="n">
        <v>2</v>
      </c>
      <c r="H19" s="10" t="s">
        <v>131</v>
      </c>
      <c r="I19" s="10" t="s">
        <v>183</v>
      </c>
      <c r="J19" s="10" t="s">
        <v>153</v>
      </c>
      <c r="K19" s="10" t="s">
        <v>187</v>
      </c>
    </row>
    <row r="20" customFormat="false" ht="15" hidden="false" customHeight="false" outlineLevel="0" collapsed="false">
      <c r="A20" s="10" t="s">
        <v>188</v>
      </c>
      <c r="B20" s="10" t="s">
        <v>76</v>
      </c>
      <c r="C20" s="20" t="s">
        <v>145</v>
      </c>
      <c r="D20" s="10" t="s">
        <v>180</v>
      </c>
      <c r="E20" s="10" t="s">
        <v>189</v>
      </c>
      <c r="F20" s="10" t="s">
        <v>82</v>
      </c>
      <c r="G20" s="15" t="n">
        <v>2</v>
      </c>
      <c r="H20" s="10" t="s">
        <v>131</v>
      </c>
      <c r="I20" s="10" t="s">
        <v>183</v>
      </c>
      <c r="J20" s="10" t="s">
        <v>132</v>
      </c>
      <c r="K20" s="10"/>
    </row>
    <row r="21" customFormat="false" ht="15" hidden="false" customHeight="false" outlineLevel="0" collapsed="false">
      <c r="A21" s="10" t="s">
        <v>190</v>
      </c>
      <c r="B21" s="10" t="s">
        <v>76</v>
      </c>
      <c r="C21" s="20" t="s">
        <v>145</v>
      </c>
      <c r="D21" s="10" t="s">
        <v>173</v>
      </c>
      <c r="E21" s="10" t="s">
        <v>191</v>
      </c>
      <c r="F21" s="10" t="s">
        <v>82</v>
      </c>
      <c r="G21" s="15" t="n">
        <v>2</v>
      </c>
      <c r="H21" s="10" t="s">
        <v>131</v>
      </c>
      <c r="I21" s="10" t="s">
        <v>172</v>
      </c>
      <c r="J21" s="10" t="s">
        <v>132</v>
      </c>
      <c r="K21" s="10"/>
    </row>
    <row r="22" customFormat="false" ht="15" hidden="false" customHeight="false" outlineLevel="0" collapsed="false">
      <c r="A22" s="10" t="s">
        <v>192</v>
      </c>
      <c r="B22" s="10" t="s">
        <v>83</v>
      </c>
      <c r="C22" s="14" t="s">
        <v>129</v>
      </c>
      <c r="D22" s="10" t="s">
        <v>193</v>
      </c>
      <c r="E22" s="10" t="s">
        <v>194</v>
      </c>
      <c r="F22" s="10" t="s">
        <v>89</v>
      </c>
      <c r="G22" s="15" t="n">
        <v>2</v>
      </c>
      <c r="H22" s="10" t="s">
        <v>131</v>
      </c>
      <c r="I22" s="10"/>
      <c r="J22" s="10" t="s">
        <v>132</v>
      </c>
      <c r="K22" s="10"/>
    </row>
    <row r="23" customFormat="false" ht="15" hidden="false" customHeight="false" outlineLevel="0" collapsed="false">
      <c r="A23" s="10" t="s">
        <v>195</v>
      </c>
      <c r="B23" s="10" t="s">
        <v>83</v>
      </c>
      <c r="C23" s="14" t="s">
        <v>129</v>
      </c>
      <c r="D23" s="10" t="s">
        <v>193</v>
      </c>
      <c r="E23" s="9" t="s">
        <v>196</v>
      </c>
      <c r="F23" s="10" t="s">
        <v>89</v>
      </c>
      <c r="G23" s="15" t="n">
        <v>3</v>
      </c>
      <c r="H23" s="10" t="s">
        <v>131</v>
      </c>
      <c r="I23" s="10" t="s">
        <v>192</v>
      </c>
      <c r="J23" s="10" t="s">
        <v>132</v>
      </c>
      <c r="K23" s="10"/>
    </row>
    <row r="24" customFormat="false" ht="15" hidden="false" customHeight="false" outlineLevel="0" collapsed="false">
      <c r="A24" s="10" t="s">
        <v>197</v>
      </c>
      <c r="B24" s="10" t="s">
        <v>83</v>
      </c>
      <c r="C24" s="14" t="s">
        <v>129</v>
      </c>
      <c r="D24" s="10" t="s">
        <v>193</v>
      </c>
      <c r="E24" s="9" t="s">
        <v>198</v>
      </c>
      <c r="F24" s="10" t="s">
        <v>89</v>
      </c>
      <c r="G24" s="15" t="n">
        <v>4</v>
      </c>
      <c r="H24" s="10" t="s">
        <v>131</v>
      </c>
      <c r="I24" s="10" t="s">
        <v>195</v>
      </c>
      <c r="J24" s="10" t="s">
        <v>153</v>
      </c>
      <c r="K24" s="10"/>
    </row>
    <row r="25" customFormat="false" ht="15" hidden="false" customHeight="false" outlineLevel="0" collapsed="false">
      <c r="A25" s="10" t="s">
        <v>199</v>
      </c>
      <c r="B25" s="10" t="s">
        <v>83</v>
      </c>
      <c r="C25" s="14" t="s">
        <v>129</v>
      </c>
      <c r="D25" s="10" t="s">
        <v>193</v>
      </c>
      <c r="E25" s="10" t="s">
        <v>200</v>
      </c>
      <c r="F25" s="10" t="s">
        <v>89</v>
      </c>
      <c r="G25" s="15" t="n">
        <v>4</v>
      </c>
      <c r="H25" s="10" t="s">
        <v>131</v>
      </c>
      <c r="I25" s="10" t="s">
        <v>195</v>
      </c>
      <c r="J25" s="10" t="s">
        <v>153</v>
      </c>
      <c r="K25" s="10"/>
    </row>
    <row r="26" customFormat="false" ht="15" hidden="false" customHeight="false" outlineLevel="0" collapsed="false">
      <c r="A26" s="10" t="s">
        <v>201</v>
      </c>
      <c r="B26" s="10" t="s">
        <v>83</v>
      </c>
      <c r="C26" s="14" t="s">
        <v>129</v>
      </c>
      <c r="D26" s="10" t="s">
        <v>193</v>
      </c>
      <c r="E26" s="10" t="s">
        <v>202</v>
      </c>
      <c r="F26" s="10" t="s">
        <v>89</v>
      </c>
      <c r="G26" s="15" t="n">
        <v>3</v>
      </c>
      <c r="H26" s="10" t="s">
        <v>131</v>
      </c>
      <c r="I26" s="10" t="s">
        <v>179</v>
      </c>
      <c r="J26" s="10" t="s">
        <v>153</v>
      </c>
      <c r="K26" s="10"/>
    </row>
    <row r="27" customFormat="false" ht="15" hidden="false" customHeight="false" outlineLevel="0" collapsed="false">
      <c r="A27" s="10" t="s">
        <v>203</v>
      </c>
      <c r="B27" s="10" t="s">
        <v>83</v>
      </c>
      <c r="C27" s="14" t="s">
        <v>129</v>
      </c>
      <c r="D27" s="10" t="s">
        <v>193</v>
      </c>
      <c r="E27" s="10" t="s">
        <v>204</v>
      </c>
      <c r="F27" s="10" t="s">
        <v>89</v>
      </c>
      <c r="G27" s="15" t="n">
        <v>3</v>
      </c>
      <c r="H27" s="10" t="s">
        <v>131</v>
      </c>
      <c r="I27" s="10" t="s">
        <v>205</v>
      </c>
      <c r="J27" s="10" t="s">
        <v>153</v>
      </c>
      <c r="K27" s="10"/>
    </row>
    <row r="28" customFormat="false" ht="15" hidden="false" customHeight="false" outlineLevel="0" collapsed="false">
      <c r="A28" s="10" t="s">
        <v>206</v>
      </c>
      <c r="B28" s="10" t="s">
        <v>83</v>
      </c>
      <c r="C28" s="20" t="s">
        <v>145</v>
      </c>
      <c r="D28" s="10" t="s">
        <v>193</v>
      </c>
      <c r="E28" s="10" t="s">
        <v>207</v>
      </c>
      <c r="F28" s="10" t="s">
        <v>89</v>
      </c>
      <c r="G28" s="15" t="n">
        <v>3</v>
      </c>
      <c r="H28" s="10" t="s">
        <v>131</v>
      </c>
      <c r="I28" s="10" t="s">
        <v>201</v>
      </c>
      <c r="J28" s="10" t="s">
        <v>132</v>
      </c>
      <c r="K28" s="10"/>
    </row>
    <row r="29" customFormat="false" ht="15" hidden="false" customHeight="false" outlineLevel="0" collapsed="false">
      <c r="A29" s="10" t="s">
        <v>208</v>
      </c>
      <c r="B29" s="10" t="s">
        <v>90</v>
      </c>
      <c r="C29" s="14" t="s">
        <v>129</v>
      </c>
      <c r="D29" s="10" t="s">
        <v>209</v>
      </c>
      <c r="E29" s="10" t="s">
        <v>210</v>
      </c>
      <c r="F29" s="10" t="s">
        <v>69</v>
      </c>
      <c r="G29" s="15" t="n">
        <v>3</v>
      </c>
      <c r="H29" s="10" t="s">
        <v>131</v>
      </c>
      <c r="I29" s="10" t="s">
        <v>157</v>
      </c>
      <c r="J29" s="10" t="s">
        <v>153</v>
      </c>
      <c r="K29" s="10"/>
    </row>
    <row r="30" customFormat="false" ht="15" hidden="false" customHeight="false" outlineLevel="0" collapsed="false">
      <c r="A30" s="10" t="s">
        <v>211</v>
      </c>
      <c r="B30" s="10" t="s">
        <v>90</v>
      </c>
      <c r="C30" s="14" t="s">
        <v>129</v>
      </c>
      <c r="D30" s="10" t="s">
        <v>209</v>
      </c>
      <c r="E30" s="10" t="s">
        <v>212</v>
      </c>
      <c r="F30" s="10" t="s">
        <v>69</v>
      </c>
      <c r="G30" s="15" t="n">
        <v>4</v>
      </c>
      <c r="H30" s="10" t="s">
        <v>131</v>
      </c>
      <c r="I30" s="10" t="s">
        <v>208</v>
      </c>
      <c r="J30" s="10" t="s">
        <v>153</v>
      </c>
      <c r="K30" s="10"/>
    </row>
    <row r="31" customFormat="false" ht="15" hidden="false" customHeight="false" outlineLevel="0" collapsed="false">
      <c r="A31" s="10" t="s">
        <v>213</v>
      </c>
      <c r="B31" s="10" t="s">
        <v>90</v>
      </c>
      <c r="C31" s="14" t="s">
        <v>129</v>
      </c>
      <c r="D31" s="10" t="s">
        <v>209</v>
      </c>
      <c r="E31" s="10" t="s">
        <v>214</v>
      </c>
      <c r="F31" s="10" t="s">
        <v>69</v>
      </c>
      <c r="G31" s="15" t="n">
        <v>3</v>
      </c>
      <c r="H31" s="10" t="s">
        <v>131</v>
      </c>
      <c r="I31" s="10" t="s">
        <v>150</v>
      </c>
      <c r="J31" s="10" t="s">
        <v>132</v>
      </c>
      <c r="K31" s="10"/>
    </row>
    <row r="32" customFormat="false" ht="15" hidden="false" customHeight="false" outlineLevel="0" collapsed="false">
      <c r="A32" s="10" t="s">
        <v>215</v>
      </c>
      <c r="B32" s="10" t="s">
        <v>90</v>
      </c>
      <c r="C32" s="14" t="s">
        <v>129</v>
      </c>
      <c r="D32" s="10" t="s">
        <v>193</v>
      </c>
      <c r="E32" s="10" t="s">
        <v>216</v>
      </c>
      <c r="F32" s="10" t="s">
        <v>89</v>
      </c>
      <c r="G32" s="15" t="n">
        <v>4</v>
      </c>
      <c r="H32" s="10" t="s">
        <v>131</v>
      </c>
      <c r="I32" s="10" t="s">
        <v>217</v>
      </c>
      <c r="J32" s="10" t="s">
        <v>153</v>
      </c>
      <c r="K32" s="10"/>
    </row>
    <row r="33" customFormat="false" ht="15" hidden="false" customHeight="false" outlineLevel="0" collapsed="false">
      <c r="A33" s="10" t="s">
        <v>218</v>
      </c>
      <c r="B33" s="10" t="s">
        <v>90</v>
      </c>
      <c r="C33" s="20" t="s">
        <v>145</v>
      </c>
      <c r="D33" s="10" t="s">
        <v>209</v>
      </c>
      <c r="E33" s="10" t="s">
        <v>219</v>
      </c>
      <c r="F33" s="10" t="s">
        <v>69</v>
      </c>
      <c r="G33" s="15" t="n">
        <v>2</v>
      </c>
      <c r="H33" s="10" t="s">
        <v>131</v>
      </c>
      <c r="I33" s="10" t="s">
        <v>211</v>
      </c>
      <c r="J33" s="10" t="s">
        <v>132</v>
      </c>
      <c r="K33" s="10"/>
    </row>
    <row r="34" customFormat="false" ht="15" hidden="false" customHeight="false" outlineLevel="0" collapsed="false">
      <c r="A34" s="10" t="s">
        <v>220</v>
      </c>
      <c r="B34" s="10" t="s">
        <v>90</v>
      </c>
      <c r="C34" s="20" t="s">
        <v>145</v>
      </c>
      <c r="D34" s="10" t="s">
        <v>193</v>
      </c>
      <c r="E34" s="9" t="s">
        <v>221</v>
      </c>
      <c r="F34" s="10" t="s">
        <v>89</v>
      </c>
      <c r="G34" s="15" t="n">
        <v>3</v>
      </c>
      <c r="H34" s="10" t="s">
        <v>131</v>
      </c>
      <c r="I34" s="10" t="s">
        <v>215</v>
      </c>
      <c r="J34" s="10" t="s">
        <v>132</v>
      </c>
      <c r="K34" s="10"/>
    </row>
    <row r="35" customFormat="false" ht="15" hidden="false" customHeight="false" outlineLevel="0" collapsed="false">
      <c r="A35" s="10" t="s">
        <v>222</v>
      </c>
      <c r="B35" s="10" t="s">
        <v>97</v>
      </c>
      <c r="C35" s="14" t="s">
        <v>129</v>
      </c>
      <c r="D35" s="10" t="s">
        <v>223</v>
      </c>
      <c r="E35" s="10" t="s">
        <v>224</v>
      </c>
      <c r="F35" s="10" t="s">
        <v>103</v>
      </c>
      <c r="G35" s="15" t="n">
        <v>3</v>
      </c>
      <c r="H35" s="10" t="s">
        <v>131</v>
      </c>
      <c r="I35" s="10" t="s">
        <v>157</v>
      </c>
      <c r="J35" s="10" t="s">
        <v>132</v>
      </c>
      <c r="K35" s="10"/>
    </row>
    <row r="36" customFormat="false" ht="15" hidden="false" customHeight="false" outlineLevel="0" collapsed="false">
      <c r="A36" s="10" t="s">
        <v>225</v>
      </c>
      <c r="B36" s="10" t="s">
        <v>97</v>
      </c>
      <c r="C36" s="14" t="s">
        <v>129</v>
      </c>
      <c r="D36" s="10" t="s">
        <v>223</v>
      </c>
      <c r="E36" s="10" t="s">
        <v>226</v>
      </c>
      <c r="F36" s="10" t="s">
        <v>103</v>
      </c>
      <c r="G36" s="15" t="n">
        <v>3</v>
      </c>
      <c r="H36" s="10" t="s">
        <v>131</v>
      </c>
      <c r="I36" s="10" t="s">
        <v>222</v>
      </c>
      <c r="J36" s="10" t="s">
        <v>132</v>
      </c>
      <c r="K36" s="10"/>
    </row>
    <row r="37" customFormat="false" ht="15" hidden="false" customHeight="false" outlineLevel="0" collapsed="false">
      <c r="A37" s="10" t="s">
        <v>227</v>
      </c>
      <c r="B37" s="10" t="s">
        <v>97</v>
      </c>
      <c r="C37" s="14" t="s">
        <v>129</v>
      </c>
      <c r="D37" s="10" t="s">
        <v>228</v>
      </c>
      <c r="E37" s="9" t="s">
        <v>229</v>
      </c>
      <c r="F37" s="10" t="s">
        <v>103</v>
      </c>
      <c r="G37" s="15" t="n">
        <v>3</v>
      </c>
      <c r="H37" s="10" t="s">
        <v>131</v>
      </c>
      <c r="I37" s="10" t="s">
        <v>157</v>
      </c>
      <c r="J37" s="10" t="s">
        <v>153</v>
      </c>
      <c r="K37" s="10"/>
    </row>
    <row r="38" customFormat="false" ht="15" hidden="false" customHeight="false" outlineLevel="0" collapsed="false">
      <c r="A38" s="10" t="s">
        <v>230</v>
      </c>
      <c r="B38" s="10" t="s">
        <v>97</v>
      </c>
      <c r="C38" s="14" t="s">
        <v>129</v>
      </c>
      <c r="D38" s="10" t="s">
        <v>228</v>
      </c>
      <c r="E38" s="10" t="s">
        <v>231</v>
      </c>
      <c r="F38" s="10" t="s">
        <v>103</v>
      </c>
      <c r="G38" s="15" t="n">
        <v>3</v>
      </c>
      <c r="H38" s="10" t="s">
        <v>131</v>
      </c>
      <c r="I38" s="10" t="s">
        <v>183</v>
      </c>
      <c r="J38" s="10" t="s">
        <v>153</v>
      </c>
      <c r="K38" s="10"/>
    </row>
    <row r="39" customFormat="false" ht="15" hidden="false" customHeight="false" outlineLevel="0" collapsed="false">
      <c r="A39" s="10" t="s">
        <v>232</v>
      </c>
      <c r="B39" s="10" t="s">
        <v>97</v>
      </c>
      <c r="C39" s="14" t="s">
        <v>129</v>
      </c>
      <c r="D39" s="10" t="s">
        <v>228</v>
      </c>
      <c r="E39" s="10" t="s">
        <v>233</v>
      </c>
      <c r="F39" s="10" t="s">
        <v>103</v>
      </c>
      <c r="G39" s="15" t="n">
        <v>2</v>
      </c>
      <c r="H39" s="10" t="s">
        <v>131</v>
      </c>
      <c r="I39" s="10" t="s">
        <v>225</v>
      </c>
      <c r="J39" s="10" t="s">
        <v>132</v>
      </c>
      <c r="K39" s="10"/>
    </row>
    <row r="40" customFormat="false" ht="15" hidden="false" customHeight="false" outlineLevel="0" collapsed="false">
      <c r="A40" s="10" t="s">
        <v>234</v>
      </c>
      <c r="B40" s="10" t="s">
        <v>97</v>
      </c>
      <c r="C40" s="20" t="s">
        <v>145</v>
      </c>
      <c r="D40" s="10" t="s">
        <v>228</v>
      </c>
      <c r="E40" s="10" t="s">
        <v>235</v>
      </c>
      <c r="F40" s="10" t="s">
        <v>103</v>
      </c>
      <c r="G40" s="15" t="n">
        <v>2</v>
      </c>
      <c r="H40" s="10" t="s">
        <v>131</v>
      </c>
      <c r="I40" s="10" t="s">
        <v>188</v>
      </c>
      <c r="J40" s="10" t="s">
        <v>132</v>
      </c>
      <c r="K40" s="10"/>
    </row>
    <row r="41" customFormat="false" ht="15" hidden="false" customHeight="false" outlineLevel="0" collapsed="false">
      <c r="A41" s="10" t="s">
        <v>236</v>
      </c>
      <c r="B41" s="10" t="s">
        <v>104</v>
      </c>
      <c r="C41" s="14" t="s">
        <v>129</v>
      </c>
      <c r="D41" s="10" t="s">
        <v>237</v>
      </c>
      <c r="E41" s="9" t="s">
        <v>238</v>
      </c>
      <c r="F41" s="10" t="s">
        <v>110</v>
      </c>
      <c r="G41" s="15" t="n">
        <v>3</v>
      </c>
      <c r="H41" s="10" t="s">
        <v>131</v>
      </c>
      <c r="I41" s="10" t="s">
        <v>239</v>
      </c>
      <c r="J41" s="10" t="s">
        <v>153</v>
      </c>
      <c r="K41" s="10"/>
    </row>
    <row r="42" customFormat="false" ht="15" hidden="false" customHeight="false" outlineLevel="0" collapsed="false">
      <c r="A42" s="10" t="s">
        <v>240</v>
      </c>
      <c r="B42" s="10" t="s">
        <v>104</v>
      </c>
      <c r="C42" s="14" t="s">
        <v>129</v>
      </c>
      <c r="D42" s="10" t="s">
        <v>237</v>
      </c>
      <c r="E42" s="9" t="s">
        <v>241</v>
      </c>
      <c r="F42" s="10" t="s">
        <v>110</v>
      </c>
      <c r="G42" s="15" t="n">
        <v>3</v>
      </c>
      <c r="H42" s="10" t="s">
        <v>131</v>
      </c>
      <c r="I42" s="10" t="s">
        <v>242</v>
      </c>
      <c r="J42" s="10" t="s">
        <v>153</v>
      </c>
      <c r="K42" s="10"/>
    </row>
    <row r="43" customFormat="false" ht="15" hidden="false" customHeight="false" outlineLevel="0" collapsed="false">
      <c r="A43" s="10" t="s">
        <v>243</v>
      </c>
      <c r="B43" s="10" t="s">
        <v>104</v>
      </c>
      <c r="C43" s="14" t="s">
        <v>129</v>
      </c>
      <c r="D43" s="10" t="s">
        <v>237</v>
      </c>
      <c r="E43" s="9" t="s">
        <v>244</v>
      </c>
      <c r="F43" s="10" t="s">
        <v>110</v>
      </c>
      <c r="G43" s="15" t="n">
        <v>3</v>
      </c>
      <c r="H43" s="10" t="s">
        <v>131</v>
      </c>
      <c r="I43" s="10" t="s">
        <v>232</v>
      </c>
      <c r="J43" s="10" t="s">
        <v>153</v>
      </c>
      <c r="K43" s="10"/>
    </row>
    <row r="44" customFormat="false" ht="15" hidden="false" customHeight="false" outlineLevel="0" collapsed="false">
      <c r="A44" s="10" t="s">
        <v>245</v>
      </c>
      <c r="B44" s="10" t="s">
        <v>104</v>
      </c>
      <c r="C44" s="14" t="s">
        <v>129</v>
      </c>
      <c r="D44" s="10" t="s">
        <v>237</v>
      </c>
      <c r="E44" s="10" t="s">
        <v>246</v>
      </c>
      <c r="F44" s="10" t="s">
        <v>110</v>
      </c>
      <c r="G44" s="15" t="n">
        <v>2</v>
      </c>
      <c r="H44" s="10" t="s">
        <v>131</v>
      </c>
      <c r="I44" s="10" t="s">
        <v>243</v>
      </c>
      <c r="J44" s="10" t="s">
        <v>132</v>
      </c>
      <c r="K44" s="10"/>
    </row>
    <row r="45" customFormat="false" ht="15" hidden="false" customHeight="false" outlineLevel="0" collapsed="false">
      <c r="A45" s="10" t="s">
        <v>247</v>
      </c>
      <c r="B45" s="10" t="s">
        <v>104</v>
      </c>
      <c r="C45" s="20" t="s">
        <v>145</v>
      </c>
      <c r="D45" s="10" t="s">
        <v>237</v>
      </c>
      <c r="E45" s="10" t="s">
        <v>248</v>
      </c>
      <c r="F45" s="10" t="s">
        <v>110</v>
      </c>
      <c r="G45" s="15" t="n">
        <v>2</v>
      </c>
      <c r="H45" s="10" t="s">
        <v>131</v>
      </c>
      <c r="I45" s="10" t="s">
        <v>243</v>
      </c>
      <c r="J45" s="10" t="s">
        <v>153</v>
      </c>
      <c r="K45" s="10"/>
    </row>
    <row r="46" customFormat="false" ht="15" hidden="false" customHeight="false" outlineLevel="0" collapsed="false">
      <c r="A46" s="10" t="s">
        <v>249</v>
      </c>
      <c r="B46" s="10" t="s">
        <v>111</v>
      </c>
      <c r="C46" s="14" t="s">
        <v>129</v>
      </c>
      <c r="D46" s="10" t="s">
        <v>250</v>
      </c>
      <c r="E46" s="9" t="s">
        <v>251</v>
      </c>
      <c r="F46" s="10" t="s">
        <v>110</v>
      </c>
      <c r="G46" s="15" t="n">
        <v>2</v>
      </c>
      <c r="H46" s="10" t="s">
        <v>131</v>
      </c>
      <c r="I46" s="10" t="s">
        <v>234</v>
      </c>
      <c r="J46" s="10" t="s">
        <v>132</v>
      </c>
      <c r="K46" s="10"/>
    </row>
    <row r="47" customFormat="false" ht="15" hidden="false" customHeight="false" outlineLevel="0" collapsed="false">
      <c r="A47" s="10" t="s">
        <v>252</v>
      </c>
      <c r="B47" s="10" t="s">
        <v>111</v>
      </c>
      <c r="C47" s="14" t="s">
        <v>129</v>
      </c>
      <c r="D47" s="10" t="s">
        <v>250</v>
      </c>
      <c r="E47" s="9" t="s">
        <v>253</v>
      </c>
      <c r="F47" s="10" t="s">
        <v>110</v>
      </c>
      <c r="G47" s="15" t="n">
        <v>2</v>
      </c>
      <c r="H47" s="10" t="s">
        <v>131</v>
      </c>
      <c r="I47" s="10" t="s">
        <v>188</v>
      </c>
      <c r="J47" s="10" t="s">
        <v>132</v>
      </c>
      <c r="K47" s="10"/>
    </row>
    <row r="48" customFormat="false" ht="15" hidden="false" customHeight="false" outlineLevel="0" collapsed="false">
      <c r="A48" s="10" t="s">
        <v>254</v>
      </c>
      <c r="B48" s="10" t="s">
        <v>111</v>
      </c>
      <c r="C48" s="14" t="s">
        <v>129</v>
      </c>
      <c r="D48" s="10" t="s">
        <v>250</v>
      </c>
      <c r="E48" s="9" t="s">
        <v>255</v>
      </c>
      <c r="F48" s="10" t="s">
        <v>110</v>
      </c>
      <c r="G48" s="15" t="n">
        <v>3</v>
      </c>
      <c r="H48" s="10" t="s">
        <v>131</v>
      </c>
      <c r="I48" s="10" t="s">
        <v>220</v>
      </c>
      <c r="J48" s="10" t="s">
        <v>132</v>
      </c>
      <c r="K48" s="10"/>
    </row>
    <row r="49" customFormat="false" ht="15" hidden="false" customHeight="false" outlineLevel="0" collapsed="false">
      <c r="A49" s="10" t="s">
        <v>256</v>
      </c>
      <c r="B49" s="10" t="s">
        <v>111</v>
      </c>
      <c r="C49" s="14" t="s">
        <v>129</v>
      </c>
      <c r="D49" s="10" t="s">
        <v>237</v>
      </c>
      <c r="E49" s="10" t="s">
        <v>257</v>
      </c>
      <c r="F49" s="10" t="s">
        <v>110</v>
      </c>
      <c r="G49" s="15" t="n">
        <v>3</v>
      </c>
      <c r="H49" s="10" t="s">
        <v>131</v>
      </c>
      <c r="I49" s="10" t="s">
        <v>258</v>
      </c>
      <c r="J49" s="10" t="s">
        <v>132</v>
      </c>
      <c r="K49" s="10"/>
    </row>
    <row r="50" customFormat="false" ht="15" hidden="false" customHeight="false" outlineLevel="0" collapsed="false">
      <c r="A50" s="10" t="s">
        <v>259</v>
      </c>
      <c r="B50" s="10" t="s">
        <v>111</v>
      </c>
      <c r="C50" s="14" t="s">
        <v>129</v>
      </c>
      <c r="D50" s="10" t="s">
        <v>237</v>
      </c>
      <c r="E50" s="10" t="s">
        <v>260</v>
      </c>
      <c r="F50" s="10" t="s">
        <v>110</v>
      </c>
      <c r="G50" s="15" t="n">
        <v>2</v>
      </c>
      <c r="H50" s="10" t="s">
        <v>131</v>
      </c>
      <c r="I50" s="10" t="s">
        <v>256</v>
      </c>
      <c r="J50" s="10" t="s">
        <v>132</v>
      </c>
      <c r="K50" s="10"/>
    </row>
    <row r="51" customFormat="false" ht="15" hidden="false" customHeight="false" outlineLevel="0" collapsed="false">
      <c r="A51" s="10" t="s">
        <v>261</v>
      </c>
      <c r="B51" s="10" t="s">
        <v>111</v>
      </c>
      <c r="C51" s="20" t="s">
        <v>145</v>
      </c>
      <c r="D51" s="10" t="s">
        <v>250</v>
      </c>
      <c r="E51" s="9" t="s">
        <v>262</v>
      </c>
      <c r="F51" s="10" t="s">
        <v>110</v>
      </c>
      <c r="G51" s="15" t="n">
        <v>1</v>
      </c>
      <c r="H51" s="10" t="s">
        <v>131</v>
      </c>
      <c r="I51" s="10" t="s">
        <v>259</v>
      </c>
      <c r="J51" s="10" t="s">
        <v>132</v>
      </c>
      <c r="K51" s="10"/>
    </row>
    <row r="52" customFormat="false" ht="15" hidden="false" customHeight="false" outlineLevel="0" collapsed="false">
      <c r="A52" s="23" t="s">
        <v>263</v>
      </c>
      <c r="G52" s="12" t="n">
        <f aca="false">SUM(G2:G51)</f>
        <v>133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3" min="1" style="1" width="20"/>
    <col collapsed="false" customWidth="true" hidden="false" outlineLevel="0" max="4" min="4" style="1" width="12"/>
    <col collapsed="false" customWidth="true" hidden="false" outlineLevel="0" max="5" min="5" style="1" width="30"/>
  </cols>
  <sheetData>
    <row r="1" customFormat="false" ht="24" hidden="false" customHeight="true" outlineLevel="0" collapsed="false">
      <c r="A1" s="7" t="s">
        <v>264</v>
      </c>
      <c r="B1" s="7" t="s">
        <v>265</v>
      </c>
      <c r="C1" s="7" t="s">
        <v>266</v>
      </c>
      <c r="D1" s="7" t="s">
        <v>267</v>
      </c>
      <c r="E1" s="7" t="s">
        <v>43</v>
      </c>
    </row>
    <row r="2" customFormat="false" ht="15" hidden="false" customHeight="false" outlineLevel="0" collapsed="false">
      <c r="A2" s="10" t="s">
        <v>268</v>
      </c>
      <c r="B2" s="10" t="s">
        <v>269</v>
      </c>
      <c r="C2" s="10" t="s">
        <v>270</v>
      </c>
      <c r="D2" s="24" t="s">
        <v>271</v>
      </c>
      <c r="E2" s="10" t="s">
        <v>272</v>
      </c>
    </row>
    <row r="3" customFormat="false" ht="15" hidden="false" customHeight="false" outlineLevel="0" collapsed="false">
      <c r="A3" s="10" t="s">
        <v>273</v>
      </c>
      <c r="B3" s="10" t="s">
        <v>274</v>
      </c>
      <c r="C3" s="10" t="s">
        <v>275</v>
      </c>
      <c r="D3" s="24" t="s">
        <v>271</v>
      </c>
      <c r="E3" s="10" t="s">
        <v>276</v>
      </c>
    </row>
    <row r="4" customFormat="false" ht="15" hidden="false" customHeight="false" outlineLevel="0" collapsed="false">
      <c r="A4" s="10" t="s">
        <v>277</v>
      </c>
      <c r="B4" s="10" t="s">
        <v>278</v>
      </c>
      <c r="C4" s="10" t="s">
        <v>275</v>
      </c>
      <c r="D4" s="24" t="s">
        <v>271</v>
      </c>
      <c r="E4" s="10" t="s">
        <v>279</v>
      </c>
    </row>
    <row r="5" customFormat="false" ht="15" hidden="false" customHeight="false" outlineLevel="0" collapsed="false">
      <c r="A5" s="10" t="s">
        <v>280</v>
      </c>
      <c r="B5" s="10" t="s">
        <v>281</v>
      </c>
      <c r="C5" s="10" t="s">
        <v>275</v>
      </c>
      <c r="D5" s="24" t="s">
        <v>271</v>
      </c>
      <c r="E5" s="9" t="s">
        <v>282</v>
      </c>
    </row>
    <row r="6" customFormat="false" ht="15" hidden="false" customHeight="false" outlineLevel="0" collapsed="false">
      <c r="A6" s="10" t="s">
        <v>283</v>
      </c>
      <c r="B6" s="10" t="s">
        <v>284</v>
      </c>
      <c r="C6" s="10" t="s">
        <v>275</v>
      </c>
      <c r="D6" s="24" t="s">
        <v>271</v>
      </c>
      <c r="E6" s="9" t="s">
        <v>285</v>
      </c>
    </row>
    <row r="7" customFormat="false" ht="15" hidden="false" customHeight="false" outlineLevel="0" collapsed="false">
      <c r="A7" s="10" t="s">
        <v>286</v>
      </c>
      <c r="B7" s="10" t="s">
        <v>287</v>
      </c>
      <c r="C7" s="10" t="s">
        <v>288</v>
      </c>
      <c r="D7" s="10" t="s">
        <v>289</v>
      </c>
      <c r="E7" s="10"/>
    </row>
    <row r="8" customFormat="false" ht="15" hidden="false" customHeight="false" outlineLevel="0" collapsed="false">
      <c r="A8" s="10" t="s">
        <v>290</v>
      </c>
      <c r="B8" s="10" t="s">
        <v>291</v>
      </c>
      <c r="C8" s="10" t="s">
        <v>275</v>
      </c>
      <c r="D8" s="24" t="s">
        <v>271</v>
      </c>
      <c r="E8" s="9" t="s">
        <v>292</v>
      </c>
    </row>
    <row r="9" customFormat="false" ht="15" hidden="false" customHeight="false" outlineLevel="0" collapsed="false">
      <c r="A9" s="10" t="s">
        <v>293</v>
      </c>
      <c r="B9" s="10" t="s">
        <v>294</v>
      </c>
      <c r="C9" s="10" t="s">
        <v>275</v>
      </c>
      <c r="D9" s="24" t="s">
        <v>271</v>
      </c>
      <c r="E9" s="10" t="s">
        <v>295</v>
      </c>
    </row>
    <row r="10" customFormat="false" ht="15" hidden="false" customHeight="false" outlineLevel="0" collapsed="false">
      <c r="A10" s="10" t="s">
        <v>296</v>
      </c>
      <c r="B10" s="10" t="s">
        <v>297</v>
      </c>
      <c r="C10" s="10" t="s">
        <v>275</v>
      </c>
      <c r="D10" s="24" t="s">
        <v>271</v>
      </c>
      <c r="E10" s="9" t="s">
        <v>298</v>
      </c>
    </row>
    <row r="11" customFormat="false" ht="15" hidden="false" customHeight="false" outlineLevel="0" collapsed="false">
      <c r="A11" s="10" t="s">
        <v>299</v>
      </c>
      <c r="B11" s="10" t="s">
        <v>300</v>
      </c>
      <c r="C11" s="10" t="s">
        <v>288</v>
      </c>
      <c r="D11" s="10" t="s">
        <v>289</v>
      </c>
      <c r="E11" s="10"/>
    </row>
    <row r="12" customFormat="false" ht="15" hidden="false" customHeight="false" outlineLevel="0" collapsed="false">
      <c r="A12" s="10" t="s">
        <v>301</v>
      </c>
      <c r="B12" s="10" t="s">
        <v>302</v>
      </c>
      <c r="C12" s="10" t="s">
        <v>275</v>
      </c>
      <c r="D12" s="24" t="s">
        <v>271</v>
      </c>
      <c r="E12" s="10" t="s">
        <v>303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28"/>
    <col collapsed="false" customWidth="true" hidden="false" outlineLevel="0" max="2" min="2" style="1" width="14"/>
    <col collapsed="false" customWidth="true" hidden="false" outlineLevel="0" max="3" min="3" style="1" width="52"/>
    <col collapsed="false" customWidth="true" hidden="false" outlineLevel="0" max="4" min="4" style="1" width="14"/>
    <col collapsed="false" customWidth="true" hidden="false" outlineLevel="0" max="5" min="5" style="1" width="11"/>
  </cols>
  <sheetData>
    <row r="1" customFormat="false" ht="24" hidden="false" customHeight="true" outlineLevel="0" collapsed="false">
      <c r="A1" s="8" t="s">
        <v>304</v>
      </c>
      <c r="B1" s="8" t="s">
        <v>305</v>
      </c>
      <c r="C1" s="8" t="s">
        <v>306</v>
      </c>
      <c r="D1" s="8" t="s">
        <v>122</v>
      </c>
      <c r="E1" s="8" t="s">
        <v>307</v>
      </c>
    </row>
    <row r="2" customFormat="false" ht="15" hidden="false" customHeight="false" outlineLevel="0" collapsed="false">
      <c r="A2" s="10" t="s">
        <v>308</v>
      </c>
      <c r="B2" s="10" t="s">
        <v>72</v>
      </c>
      <c r="C2" s="10" t="s">
        <v>309</v>
      </c>
      <c r="D2" s="10" t="s">
        <v>69</v>
      </c>
      <c r="E2" s="24" t="s">
        <v>271</v>
      </c>
    </row>
    <row r="3" customFormat="false" ht="15" hidden="false" customHeight="false" outlineLevel="0" collapsed="false">
      <c r="A3" s="10" t="s">
        <v>310</v>
      </c>
      <c r="B3" s="10" t="s">
        <v>78</v>
      </c>
      <c r="C3" s="10" t="s">
        <v>311</v>
      </c>
      <c r="D3" s="10" t="s">
        <v>82</v>
      </c>
      <c r="E3" s="24" t="s">
        <v>271</v>
      </c>
    </row>
    <row r="4" customFormat="false" ht="15" hidden="false" customHeight="false" outlineLevel="0" collapsed="false">
      <c r="A4" s="10" t="s">
        <v>312</v>
      </c>
      <c r="B4" s="10" t="s">
        <v>85</v>
      </c>
      <c r="C4" s="9" t="s">
        <v>313</v>
      </c>
      <c r="D4" s="10" t="s">
        <v>89</v>
      </c>
      <c r="E4" s="24" t="s">
        <v>271</v>
      </c>
    </row>
    <row r="5" customFormat="false" ht="15" hidden="false" customHeight="false" outlineLevel="0" collapsed="false">
      <c r="A5" s="10" t="s">
        <v>314</v>
      </c>
      <c r="B5" s="10" t="s">
        <v>92</v>
      </c>
      <c r="C5" s="9" t="s">
        <v>315</v>
      </c>
      <c r="D5" s="10" t="s">
        <v>96</v>
      </c>
      <c r="E5" s="24" t="s">
        <v>271</v>
      </c>
    </row>
    <row r="6" customFormat="false" ht="15" hidden="false" customHeight="false" outlineLevel="0" collapsed="false">
      <c r="A6" s="10" t="s">
        <v>316</v>
      </c>
      <c r="B6" s="10" t="s">
        <v>99</v>
      </c>
      <c r="C6" s="10" t="s">
        <v>317</v>
      </c>
      <c r="D6" s="10" t="s">
        <v>103</v>
      </c>
      <c r="E6" s="24" t="s">
        <v>271</v>
      </c>
    </row>
    <row r="7" customFormat="false" ht="15" hidden="false" customHeight="false" outlineLevel="0" collapsed="false">
      <c r="A7" s="10" t="s">
        <v>318</v>
      </c>
      <c r="B7" s="10" t="s">
        <v>106</v>
      </c>
      <c r="C7" s="9" t="s">
        <v>319</v>
      </c>
      <c r="D7" s="10" t="s">
        <v>110</v>
      </c>
      <c r="E7" s="24" t="s">
        <v>271</v>
      </c>
    </row>
    <row r="8" customFormat="false" ht="15" hidden="false" customHeight="false" outlineLevel="0" collapsed="false">
      <c r="A8" s="10" t="s">
        <v>320</v>
      </c>
      <c r="B8" s="10" t="s">
        <v>113</v>
      </c>
      <c r="C8" s="10" t="s">
        <v>321</v>
      </c>
      <c r="D8" s="10" t="s">
        <v>110</v>
      </c>
      <c r="E8" s="24" t="s">
        <v>271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32"/>
    <col collapsed="false" customWidth="true" hidden="false" outlineLevel="0" max="3" min="2" style="1" width="14"/>
    <col collapsed="false" customWidth="true" hidden="false" outlineLevel="0" max="4" min="4" style="1" width="12"/>
    <col collapsed="false" customWidth="true" hidden="false" outlineLevel="0" max="5" min="5" style="1" width="8"/>
    <col collapsed="false" customWidth="true" hidden="false" outlineLevel="0" max="8" min="6" style="1" width="10"/>
  </cols>
  <sheetData>
    <row r="1" customFormat="false" ht="24" hidden="false" customHeight="true" outlineLevel="0" collapsed="false">
      <c r="A1" s="8" t="s">
        <v>322</v>
      </c>
      <c r="B1" s="8" t="s">
        <v>323</v>
      </c>
      <c r="C1" s="8" t="s">
        <v>324</v>
      </c>
      <c r="D1" s="8" t="s">
        <v>89</v>
      </c>
      <c r="E1" s="8" t="s">
        <v>103</v>
      </c>
      <c r="F1" s="8" t="s">
        <v>325</v>
      </c>
      <c r="G1" s="8" t="s">
        <v>326</v>
      </c>
      <c r="H1" s="8" t="s">
        <v>327</v>
      </c>
    </row>
    <row r="2" customFormat="false" ht="15" hidden="false" customHeight="false" outlineLevel="0" collapsed="false">
      <c r="A2" s="10" t="s">
        <v>328</v>
      </c>
      <c r="B2" s="14" t="s">
        <v>329</v>
      </c>
      <c r="C2" s="25" t="s">
        <v>330</v>
      </c>
      <c r="D2" s="16" t="s">
        <v>331</v>
      </c>
      <c r="E2" s="25" t="s">
        <v>330</v>
      </c>
      <c r="F2" s="16" t="s">
        <v>331</v>
      </c>
      <c r="G2" s="25" t="s">
        <v>330</v>
      </c>
      <c r="H2" s="16" t="s">
        <v>331</v>
      </c>
    </row>
    <row r="3" customFormat="false" ht="15" hidden="false" customHeight="false" outlineLevel="0" collapsed="false">
      <c r="A3" s="10" t="s">
        <v>332</v>
      </c>
      <c r="B3" s="14" t="s">
        <v>329</v>
      </c>
      <c r="C3" s="25" t="s">
        <v>330</v>
      </c>
      <c r="D3" s="25" t="s">
        <v>330</v>
      </c>
      <c r="E3" s="16" t="s">
        <v>331</v>
      </c>
      <c r="F3" s="25" t="s">
        <v>330</v>
      </c>
      <c r="G3" s="16" t="s">
        <v>331</v>
      </c>
      <c r="H3" s="16" t="s">
        <v>331</v>
      </c>
    </row>
    <row r="4" customFormat="false" ht="15" hidden="false" customHeight="false" outlineLevel="0" collapsed="false">
      <c r="A4" s="10" t="s">
        <v>333</v>
      </c>
      <c r="B4" s="14" t="s">
        <v>329</v>
      </c>
      <c r="C4" s="25" t="s">
        <v>330</v>
      </c>
      <c r="D4" s="16" t="s">
        <v>331</v>
      </c>
      <c r="E4" s="25" t="s">
        <v>330</v>
      </c>
      <c r="F4" s="16" t="s">
        <v>331</v>
      </c>
      <c r="G4" s="25" t="s">
        <v>330</v>
      </c>
      <c r="H4" s="16" t="s">
        <v>331</v>
      </c>
    </row>
    <row r="5" customFormat="false" ht="15" hidden="false" customHeight="false" outlineLevel="0" collapsed="false">
      <c r="A5" s="10" t="s">
        <v>334</v>
      </c>
      <c r="B5" s="25" t="s">
        <v>330</v>
      </c>
      <c r="C5" s="14" t="s">
        <v>329</v>
      </c>
      <c r="D5" s="25" t="s">
        <v>330</v>
      </c>
      <c r="E5" s="16" t="s">
        <v>331</v>
      </c>
      <c r="F5" s="16" t="s">
        <v>331</v>
      </c>
      <c r="G5" s="25" t="s">
        <v>330</v>
      </c>
      <c r="H5" s="16" t="s">
        <v>331</v>
      </c>
    </row>
    <row r="6" customFormat="false" ht="15" hidden="false" customHeight="false" outlineLevel="0" collapsed="false">
      <c r="A6" s="10" t="s">
        <v>335</v>
      </c>
      <c r="B6" s="25" t="s">
        <v>330</v>
      </c>
      <c r="C6" s="14" t="s">
        <v>329</v>
      </c>
      <c r="D6" s="16" t="s">
        <v>331</v>
      </c>
      <c r="E6" s="25" t="s">
        <v>330</v>
      </c>
      <c r="F6" s="25" t="s">
        <v>330</v>
      </c>
      <c r="G6" s="25" t="s">
        <v>330</v>
      </c>
      <c r="H6" s="16" t="s">
        <v>331</v>
      </c>
    </row>
    <row r="7" customFormat="false" ht="15" hidden="false" customHeight="false" outlineLevel="0" collapsed="false">
      <c r="A7" s="10" t="s">
        <v>193</v>
      </c>
      <c r="B7" s="25" t="s">
        <v>330</v>
      </c>
      <c r="C7" s="25" t="s">
        <v>330</v>
      </c>
      <c r="D7" s="14" t="s">
        <v>329</v>
      </c>
      <c r="E7" s="16" t="s">
        <v>331</v>
      </c>
      <c r="F7" s="25" t="s">
        <v>330</v>
      </c>
      <c r="G7" s="16" t="s">
        <v>331</v>
      </c>
      <c r="H7" s="16" t="s">
        <v>331</v>
      </c>
    </row>
    <row r="8" customFormat="false" ht="15" hidden="false" customHeight="false" outlineLevel="0" collapsed="false">
      <c r="A8" s="10" t="s">
        <v>336</v>
      </c>
      <c r="B8" s="14" t="s">
        <v>329</v>
      </c>
      <c r="C8" s="25" t="s">
        <v>330</v>
      </c>
      <c r="D8" s="25" t="s">
        <v>330</v>
      </c>
      <c r="E8" s="16" t="s">
        <v>331</v>
      </c>
      <c r="F8" s="16" t="s">
        <v>331</v>
      </c>
      <c r="G8" s="25" t="s">
        <v>330</v>
      </c>
      <c r="H8" s="16" t="s">
        <v>331</v>
      </c>
    </row>
    <row r="9" customFormat="false" ht="15" hidden="false" customHeight="false" outlineLevel="0" collapsed="false">
      <c r="A9" s="10" t="s">
        <v>223</v>
      </c>
      <c r="B9" s="25" t="s">
        <v>330</v>
      </c>
      <c r="C9" s="25" t="s">
        <v>330</v>
      </c>
      <c r="D9" s="16" t="s">
        <v>331</v>
      </c>
      <c r="E9" s="14" t="s">
        <v>329</v>
      </c>
      <c r="F9" s="16" t="s">
        <v>331</v>
      </c>
      <c r="G9" s="16" t="s">
        <v>331</v>
      </c>
      <c r="H9" s="16" t="s">
        <v>331</v>
      </c>
    </row>
    <row r="10" customFormat="false" ht="15" hidden="false" customHeight="false" outlineLevel="0" collapsed="false">
      <c r="A10" s="10" t="s">
        <v>337</v>
      </c>
      <c r="B10" s="25" t="s">
        <v>330</v>
      </c>
      <c r="C10" s="25" t="s">
        <v>330</v>
      </c>
      <c r="D10" s="25" t="s">
        <v>330</v>
      </c>
      <c r="E10" s="25" t="s">
        <v>330</v>
      </c>
      <c r="F10" s="16" t="s">
        <v>331</v>
      </c>
      <c r="G10" s="14" t="s">
        <v>329</v>
      </c>
      <c r="H10" s="16" t="s">
        <v>331</v>
      </c>
    </row>
    <row r="11" customFormat="false" ht="15" hidden="false" customHeight="false" outlineLevel="0" collapsed="false">
      <c r="A11" s="10" t="s">
        <v>338</v>
      </c>
      <c r="B11" s="25" t="s">
        <v>330</v>
      </c>
      <c r="C11" s="25" t="s">
        <v>330</v>
      </c>
      <c r="D11" s="16" t="s">
        <v>331</v>
      </c>
      <c r="E11" s="14" t="s">
        <v>329</v>
      </c>
      <c r="F11" s="25" t="s">
        <v>330</v>
      </c>
      <c r="G11" s="16" t="s">
        <v>331</v>
      </c>
      <c r="H11" s="16" t="s">
        <v>331</v>
      </c>
    </row>
    <row r="12" customFormat="false" ht="15" hidden="false" customHeight="false" outlineLevel="0" collapsed="false">
      <c r="A12" s="9" t="s">
        <v>339</v>
      </c>
      <c r="B12" s="25" t="s">
        <v>330</v>
      </c>
      <c r="C12" s="25" t="s">
        <v>330</v>
      </c>
      <c r="D12" s="16" t="s">
        <v>331</v>
      </c>
      <c r="E12" s="14" t="s">
        <v>329</v>
      </c>
      <c r="F12" s="16" t="s">
        <v>331</v>
      </c>
      <c r="G12" s="16" t="s">
        <v>331</v>
      </c>
      <c r="H12" s="25" t="s">
        <v>330</v>
      </c>
    </row>
    <row r="13" customFormat="false" ht="15" hidden="false" customHeight="false" outlineLevel="0" collapsed="false">
      <c r="A13" s="9" t="s">
        <v>340</v>
      </c>
      <c r="B13" s="16" t="s">
        <v>331</v>
      </c>
      <c r="C13" s="25" t="s">
        <v>330</v>
      </c>
      <c r="D13" s="25" t="s">
        <v>330</v>
      </c>
      <c r="E13" s="16" t="s">
        <v>331</v>
      </c>
      <c r="F13" s="14" t="s">
        <v>329</v>
      </c>
      <c r="G13" s="16" t="s">
        <v>331</v>
      </c>
      <c r="H13" s="25" t="s">
        <v>330</v>
      </c>
    </row>
    <row r="14" customFormat="false" ht="15" hidden="false" customHeight="false" outlineLevel="0" collapsed="false">
      <c r="A14" s="10" t="s">
        <v>341</v>
      </c>
      <c r="B14" s="25" t="s">
        <v>330</v>
      </c>
      <c r="C14" s="25" t="s">
        <v>330</v>
      </c>
      <c r="D14" s="16" t="s">
        <v>331</v>
      </c>
      <c r="E14" s="25" t="s">
        <v>330</v>
      </c>
      <c r="F14" s="14" t="s">
        <v>329</v>
      </c>
      <c r="G14" s="25" t="s">
        <v>330</v>
      </c>
      <c r="H14" s="16" t="s">
        <v>331</v>
      </c>
    </row>
    <row r="16" customFormat="false" ht="15" hidden="false" customHeight="false" outlineLevel="0" collapsed="false">
      <c r="A16" s="3" t="s">
        <v>342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32"/>
    <col collapsed="false" customWidth="true" hidden="false" outlineLevel="0" max="2" min="2" style="1" width="14"/>
    <col collapsed="false" customWidth="true" hidden="false" outlineLevel="0" max="3" min="3" style="1" width="10"/>
    <col collapsed="false" customWidth="true" hidden="false" outlineLevel="0" max="4" min="4" style="1" width="12"/>
    <col collapsed="false" customWidth="true" hidden="false" outlineLevel="0" max="5" min="5" style="1" width="14"/>
    <col collapsed="false" customWidth="true" hidden="false" outlineLevel="0" max="6" min="6" style="1" width="34"/>
  </cols>
  <sheetData>
    <row r="1" customFormat="false" ht="24" hidden="false" customHeight="true" outlineLevel="0" collapsed="false">
      <c r="A1" s="7" t="s">
        <v>343</v>
      </c>
      <c r="B1" s="7" t="s">
        <v>344</v>
      </c>
      <c r="C1" s="7" t="s">
        <v>345</v>
      </c>
      <c r="D1" s="7" t="s">
        <v>346</v>
      </c>
      <c r="E1" s="7" t="s">
        <v>347</v>
      </c>
      <c r="F1" s="7" t="s">
        <v>348</v>
      </c>
    </row>
    <row r="2" customFormat="false" ht="15" hidden="false" customHeight="false" outlineLevel="0" collapsed="false">
      <c r="A2" s="9" t="s">
        <v>349</v>
      </c>
      <c r="B2" s="10" t="s">
        <v>350</v>
      </c>
      <c r="C2" s="26" t="n">
        <v>2</v>
      </c>
      <c r="D2" s="27" t="n">
        <v>20000</v>
      </c>
      <c r="E2" s="28" t="n">
        <f aca="false">C2*D2</f>
        <v>40000</v>
      </c>
      <c r="F2" s="9" t="s">
        <v>351</v>
      </c>
    </row>
    <row r="3" customFormat="false" ht="15" hidden="false" customHeight="false" outlineLevel="0" collapsed="false">
      <c r="A3" s="9" t="s">
        <v>352</v>
      </c>
      <c r="B3" s="10" t="s">
        <v>350</v>
      </c>
      <c r="C3" s="26" t="n">
        <v>1</v>
      </c>
      <c r="D3" s="27" t="n">
        <v>20000</v>
      </c>
      <c r="E3" s="28" t="n">
        <f aca="false">C3*D3</f>
        <v>20000</v>
      </c>
      <c r="F3" s="10" t="s">
        <v>353</v>
      </c>
    </row>
    <row r="4" customFormat="false" ht="15" hidden="false" customHeight="false" outlineLevel="0" collapsed="false">
      <c r="A4" s="9" t="s">
        <v>354</v>
      </c>
      <c r="B4" s="10" t="s">
        <v>350</v>
      </c>
      <c r="C4" s="26" t="n">
        <v>1</v>
      </c>
      <c r="D4" s="27" t="n">
        <v>18000</v>
      </c>
      <c r="E4" s="28" t="n">
        <f aca="false">C4*D4</f>
        <v>18000</v>
      </c>
      <c r="F4" s="10" t="s">
        <v>355</v>
      </c>
    </row>
    <row r="5" customFormat="false" ht="15" hidden="false" customHeight="false" outlineLevel="0" collapsed="false">
      <c r="A5" s="9" t="s">
        <v>356</v>
      </c>
      <c r="B5" s="10" t="s">
        <v>350</v>
      </c>
      <c r="C5" s="26" t="n">
        <v>0.5</v>
      </c>
      <c r="D5" s="27" t="n">
        <v>22000</v>
      </c>
      <c r="E5" s="28" t="n">
        <f aca="false">C5*D5</f>
        <v>11000</v>
      </c>
      <c r="F5" s="10" t="s">
        <v>357</v>
      </c>
    </row>
    <row r="6" customFormat="false" ht="15" hidden="false" customHeight="false" outlineLevel="0" collapsed="false">
      <c r="A6" s="10" t="s">
        <v>358</v>
      </c>
      <c r="B6" s="10" t="s">
        <v>350</v>
      </c>
      <c r="C6" s="26" t="n">
        <v>0.3</v>
      </c>
      <c r="D6" s="27" t="n">
        <v>18000</v>
      </c>
      <c r="E6" s="28" t="n">
        <f aca="false">C6*D6</f>
        <v>5400</v>
      </c>
      <c r="F6" s="9" t="s">
        <v>359</v>
      </c>
    </row>
    <row r="7" customFormat="false" ht="15" hidden="false" customHeight="false" outlineLevel="0" collapsed="false">
      <c r="A7" s="10" t="s">
        <v>360</v>
      </c>
      <c r="B7" s="10" t="s">
        <v>361</v>
      </c>
      <c r="C7" s="26" t="n">
        <v>1</v>
      </c>
      <c r="D7" s="27" t="n">
        <v>6000</v>
      </c>
      <c r="E7" s="28" t="n">
        <f aca="false">C7*D7</f>
        <v>6000</v>
      </c>
      <c r="F7" s="9" t="s">
        <v>362</v>
      </c>
    </row>
    <row r="8" customFormat="false" ht="15" hidden="false" customHeight="false" outlineLevel="0" collapsed="false">
      <c r="A8" s="10" t="s">
        <v>363</v>
      </c>
      <c r="B8" s="9" t="s">
        <v>364</v>
      </c>
      <c r="C8" s="26" t="n">
        <v>4</v>
      </c>
      <c r="D8" s="27" t="n">
        <v>350</v>
      </c>
      <c r="E8" s="28" t="n">
        <f aca="false">C8*D8</f>
        <v>1400</v>
      </c>
      <c r="F8" s="10" t="s">
        <v>365</v>
      </c>
    </row>
    <row r="9" customFormat="false" ht="15" hidden="false" customHeight="false" outlineLevel="0" collapsed="false">
      <c r="A9" s="10" t="s">
        <v>366</v>
      </c>
      <c r="B9" s="9" t="s">
        <v>364</v>
      </c>
      <c r="C9" s="26" t="n">
        <v>4</v>
      </c>
      <c r="D9" s="27" t="n">
        <v>700</v>
      </c>
      <c r="E9" s="28" t="n">
        <f aca="false">C9*D9</f>
        <v>2800</v>
      </c>
      <c r="F9" s="10" t="s">
        <v>367</v>
      </c>
    </row>
    <row r="10" customFormat="false" ht="15" hidden="false" customHeight="false" outlineLevel="0" collapsed="false">
      <c r="A10" s="10" t="s">
        <v>368</v>
      </c>
      <c r="B10" s="9" t="s">
        <v>364</v>
      </c>
      <c r="C10" s="26" t="n">
        <v>4</v>
      </c>
      <c r="D10" s="27" t="n">
        <v>120</v>
      </c>
      <c r="E10" s="28" t="n">
        <f aca="false">C10*D10</f>
        <v>480</v>
      </c>
      <c r="F10" s="9" t="s">
        <v>369</v>
      </c>
    </row>
    <row r="11" customFormat="false" ht="15" hidden="false" customHeight="false" outlineLevel="0" collapsed="false">
      <c r="A11" s="9" t="s">
        <v>370</v>
      </c>
      <c r="B11" s="9" t="s">
        <v>364</v>
      </c>
      <c r="C11" s="26" t="n">
        <v>4</v>
      </c>
      <c r="D11" s="27" t="n">
        <v>200</v>
      </c>
      <c r="E11" s="28" t="n">
        <f aca="false">C11*D11</f>
        <v>800</v>
      </c>
      <c r="F11" s="10" t="s">
        <v>371</v>
      </c>
    </row>
    <row r="12" customFormat="false" ht="15" hidden="false" customHeight="false" outlineLevel="0" collapsed="false">
      <c r="A12" s="10" t="s">
        <v>372</v>
      </c>
      <c r="B12" s="10" t="s">
        <v>361</v>
      </c>
      <c r="C12" s="26" t="n">
        <v>1</v>
      </c>
      <c r="D12" s="27" t="n">
        <v>1500</v>
      </c>
      <c r="E12" s="28" t="n">
        <f aca="false">C12*D12</f>
        <v>1500</v>
      </c>
      <c r="F12" s="10" t="s">
        <v>373</v>
      </c>
    </row>
    <row r="13" customFormat="false" ht="15" hidden="false" customHeight="false" outlineLevel="0" collapsed="false">
      <c r="A13" s="9" t="s">
        <v>374</v>
      </c>
      <c r="B13" s="10" t="s">
        <v>361</v>
      </c>
      <c r="C13" s="26" t="n">
        <v>1</v>
      </c>
      <c r="D13" s="27" t="n">
        <v>5000</v>
      </c>
      <c r="E13" s="28" t="n">
        <f aca="false">C13*D13</f>
        <v>5000</v>
      </c>
      <c r="F13" s="9" t="s">
        <v>375</v>
      </c>
    </row>
    <row r="15" customFormat="false" ht="15" hidden="false" customHeight="false" outlineLevel="0" collapsed="false">
      <c r="A15" s="29" t="s">
        <v>376</v>
      </c>
      <c r="B15" s="30"/>
      <c r="C15" s="30"/>
      <c r="D15" s="30"/>
      <c r="E15" s="31" t="n">
        <f aca="false">SUM(E2:E13)</f>
        <v>112380</v>
      </c>
      <c r="F15" s="30"/>
    </row>
    <row r="17" customFormat="false" ht="15" hidden="false" customHeight="false" outlineLevel="0" collapsed="false">
      <c r="A17" s="5" t="s">
        <v>377</v>
      </c>
      <c r="E17" s="32" t="n">
        <f aca="false">D8+D9+D10+D11</f>
        <v>1370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2026-04-18T12:20:42Z</dcterms:created>
  <dc:creator>openpyxl</dc:creator>
  <dc:description/>
  <dc:language>en-US</dc:language>
  <cp:lastModifiedBy/>
  <dcterms:modified xsi:type="dcterms:W3CDTF">2026-04-18T12:20:42Z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