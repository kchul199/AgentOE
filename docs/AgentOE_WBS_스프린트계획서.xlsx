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WBS" sheetId="1" state="visible" r:id="rId3"/>
    <sheet name="스프린트_계획" sheetId="2" state="visible" r:id="rId4"/>
    <sheet name="리소스_계획" sheetId="3" state="visible" r:id="rId5"/>
    <sheet name="리스크_관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<sst xmlns="http://schemas.openxmlformats.org/spreadsheetml/2006/main" count="430" uniqueCount="212">
  <si>
    <t xml:space="preserve">WBS_ID</t>
  </si>
  <si>
    <t xml:space="preserve">구분</t>
  </si>
  <si>
    <t xml:space="preserve">태스크명</t>
  </si>
  <si>
    <t xml:space="preserve">담당자</t>
  </si>
  <si>
    <r>
      <rPr>
        <b val="true"/>
        <sz val="11"/>
        <color rgb="FFFFFFFF"/>
        <rFont val="DejaVu Sans"/>
        <family val="2"/>
      </rPr>
      <t xml:space="preserve">공수</t>
    </r>
    <r>
      <rPr>
        <b val="true"/>
        <sz val="11"/>
        <color rgb="FFFFFFFF"/>
        <rFont val="Arial"/>
        <family val="0"/>
        <charset val="1"/>
      </rPr>
      <t xml:space="preserve">(MD)</t>
    </r>
  </si>
  <si>
    <t xml:space="preserve">시작일</t>
  </si>
  <si>
    <t xml:space="preserve">종료일</t>
  </si>
  <si>
    <t xml:space="preserve">선행조건</t>
  </si>
  <si>
    <t xml:space="preserve">상태</t>
  </si>
  <si>
    <t xml:space="preserve">비고</t>
  </si>
  <si>
    <t xml:space="preserve">1.0</t>
  </si>
  <si>
    <t xml:space="preserve">Phase</t>
  </si>
  <si>
    <t xml:space="preserve">기반 인프라</t>
  </si>
  <si>
    <t xml:space="preserve">PM</t>
  </si>
  <si>
    <t xml:space="preserve">2026-04-14</t>
  </si>
  <si>
    <t xml:space="preserve">대기</t>
  </si>
  <si>
    <t xml:space="preserve">1.1</t>
  </si>
  <si>
    <t xml:space="preserve">Task</t>
  </si>
  <si>
    <t xml:space="preserve">개발환경 구성</t>
  </si>
  <si>
    <t xml:space="preserve">인프라팀</t>
  </si>
  <si>
    <t xml:space="preserve">Docker Compose, MongoDB Replica Set</t>
  </si>
  <si>
    <t xml:space="preserve">1.2</t>
  </si>
  <si>
    <r>
      <rPr>
        <sz val="10"/>
        <rFont val="Arial"/>
        <family val="0"/>
        <charset val="1"/>
      </rPr>
      <t xml:space="preserve">CI/CD </t>
    </r>
    <r>
      <rPr>
        <sz val="10"/>
        <rFont val="DejaVu Sans"/>
        <family val="2"/>
      </rPr>
      <t xml:space="preserve">파이프라인 구축</t>
    </r>
  </si>
  <si>
    <t xml:space="preserve">DevOps</t>
  </si>
  <si>
    <t xml:space="preserve">GitHub Actions, Docker</t>
  </si>
  <si>
    <t xml:space="preserve">1.3</t>
  </si>
  <si>
    <r>
      <rPr>
        <sz val="10"/>
        <rFont val="Arial"/>
        <family val="0"/>
        <charset val="1"/>
      </rPr>
      <t xml:space="preserve">MongoDB </t>
    </r>
    <r>
      <rPr>
        <sz val="10"/>
        <rFont val="DejaVu Sans"/>
        <family val="2"/>
      </rPr>
      <t xml:space="preserve">스키마 설계</t>
    </r>
  </si>
  <si>
    <t xml:space="preserve">백엔드</t>
  </si>
  <si>
    <t xml:space="preserve">collections, TTL, indexes</t>
  </si>
  <si>
    <t xml:space="preserve">1.4</t>
  </si>
  <si>
    <r>
      <rPr>
        <sz val="10"/>
        <rFont val="Arial"/>
        <family val="0"/>
        <charset val="1"/>
      </rPr>
      <t xml:space="preserve">Redis </t>
    </r>
    <r>
      <rPr>
        <sz val="10"/>
        <rFont val="DejaVu Sans"/>
        <family val="2"/>
      </rPr>
      <t xml:space="preserve">클러스터 구성</t>
    </r>
  </si>
  <si>
    <t xml:space="preserve">2026-04-21</t>
  </si>
  <si>
    <t xml:space="preserve">hot state, lease lock</t>
  </si>
  <si>
    <t xml:space="preserve">1.5</t>
  </si>
  <si>
    <t xml:space="preserve">멀티테넌트 프레임워크</t>
  </si>
  <si>
    <t xml:space="preserve">2026-04-28</t>
  </si>
  <si>
    <r>
      <rPr>
        <sz val="10"/>
        <rFont val="Arial"/>
        <family val="0"/>
        <charset val="1"/>
      </rPr>
      <t xml:space="preserve">RBAC </t>
    </r>
    <r>
      <rPr>
        <sz val="10"/>
        <rFont val="DejaVu Sans"/>
        <family val="2"/>
      </rPr>
      <t xml:space="preserve">스켈레톤</t>
    </r>
  </si>
  <si>
    <t xml:space="preserve">1.6</t>
  </si>
  <si>
    <r>
      <rPr>
        <sz val="10"/>
        <rFont val="Arial"/>
        <family val="0"/>
        <charset val="1"/>
      </rPr>
      <t xml:space="preserve">API Gateway/</t>
    </r>
    <r>
      <rPr>
        <sz val="10"/>
        <rFont val="DejaVu Sans"/>
        <family val="2"/>
      </rPr>
      <t xml:space="preserve">인증</t>
    </r>
  </si>
  <si>
    <t xml:space="preserve">JWT, middleware</t>
  </si>
  <si>
    <t xml:space="preserve">2.0</t>
  </si>
  <si>
    <t xml:space="preserve">핵심 기능 개발</t>
  </si>
  <si>
    <t xml:space="preserve">2026-05-12</t>
  </si>
  <si>
    <t xml:space="preserve">2.1</t>
  </si>
  <si>
    <r>
      <rPr>
        <sz val="10"/>
        <rFont val="DejaVu Sans"/>
        <family val="2"/>
      </rPr>
      <t xml:space="preserve">세션 </t>
    </r>
    <r>
      <rPr>
        <sz val="10"/>
        <rFont val="Arial"/>
        <family val="0"/>
        <charset val="1"/>
      </rPr>
      <t xml:space="preserve">FSM </t>
    </r>
    <r>
      <rPr>
        <sz val="10"/>
        <rFont val="DejaVu Sans"/>
        <family val="2"/>
      </rPr>
      <t xml:space="preserve">구현</t>
    </r>
  </si>
  <si>
    <t xml:space="preserve">IDLE→ENDED</t>
  </si>
  <si>
    <t xml:space="preserve">2.2</t>
  </si>
  <si>
    <t xml:space="preserve">VBGW gRPC/WebSocket</t>
  </si>
  <si>
    <t xml:space="preserve">SESSION_HELLO, events</t>
  </si>
  <si>
    <t xml:space="preserve">2.3</t>
  </si>
  <si>
    <r>
      <rPr>
        <sz val="10"/>
        <rFont val="Arial"/>
        <family val="0"/>
        <charset val="1"/>
      </rPr>
      <t xml:space="preserve">STT </t>
    </r>
    <r>
      <rPr>
        <sz val="10"/>
        <rFont val="DejaVu Sans"/>
        <family val="2"/>
      </rPr>
      <t xml:space="preserve">통합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</si>
  <si>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팀</t>
    </r>
  </si>
  <si>
    <t xml:space="preserve">2026-05-26</t>
  </si>
  <si>
    <t xml:space="preserve">Groq Whisper, Circuit Breaker</t>
  </si>
  <si>
    <t xml:space="preserve">2.4</t>
  </si>
  <si>
    <r>
      <rPr>
        <sz val="10"/>
        <rFont val="Arial"/>
        <family val="0"/>
        <charset val="1"/>
      </rPr>
      <t xml:space="preserve">LLM </t>
    </r>
    <r>
      <rPr>
        <sz val="10"/>
        <rFont val="DejaVu Sans"/>
        <family val="2"/>
      </rPr>
      <t xml:space="preserve">통합</t>
    </r>
  </si>
  <si>
    <t xml:space="preserve">Groq Llama, Filler Audio</t>
  </si>
  <si>
    <t xml:space="preserve">2.5</t>
  </si>
  <si>
    <r>
      <rPr>
        <sz val="10"/>
        <rFont val="Arial"/>
        <family val="0"/>
        <charset val="1"/>
      </rPr>
      <t xml:space="preserve">TTS </t>
    </r>
    <r>
      <rPr>
        <sz val="10"/>
        <rFont val="DejaVu Sans"/>
        <family val="2"/>
      </rPr>
      <t xml:space="preserve">통합</t>
    </r>
  </si>
  <si>
    <t xml:space="preserve">Google Neural2, streaming</t>
  </si>
  <si>
    <t xml:space="preserve">2.6</t>
  </si>
  <si>
    <r>
      <rPr>
        <sz val="10"/>
        <rFont val="Arial"/>
        <family val="0"/>
        <charset val="1"/>
      </rPr>
      <t xml:space="preserve">Policy Gate </t>
    </r>
    <r>
      <rPr>
        <sz val="10"/>
        <rFont val="DejaVu Sans"/>
        <family val="2"/>
      </rPr>
      <t xml:space="preserve">구현</t>
    </r>
  </si>
  <si>
    <t xml:space="preserve">G1~G5, 5 levels</t>
  </si>
  <si>
    <t xml:space="preserve">2.7</t>
  </si>
  <si>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커넥터 </t>
    </r>
    <r>
      <rPr>
        <sz val="10"/>
        <rFont val="Arial"/>
        <family val="0"/>
        <charset val="1"/>
      </rPr>
      <t xml:space="preserve">SDK</t>
    </r>
  </si>
  <si>
    <t xml:space="preserve">2026-06-09</t>
  </si>
  <si>
    <t xml:space="preserve">BaseConnector, CRM</t>
  </si>
  <si>
    <t xml:space="preserve">2.8</t>
  </si>
  <si>
    <r>
      <rPr>
        <sz val="10"/>
        <rFont val="Arial"/>
        <family val="0"/>
        <charset val="1"/>
      </rPr>
      <t xml:space="preserve">Kill Switch </t>
    </r>
    <r>
      <rPr>
        <sz val="10"/>
        <rFont val="DejaVu Sans"/>
        <family val="2"/>
      </rPr>
      <t xml:space="preserve">구현</t>
    </r>
  </si>
  <si>
    <r>
      <rPr>
        <sz val="10"/>
        <rFont val="DejaVu Sans"/>
        <family val="2"/>
      </rPr>
      <t xml:space="preserve">테넌트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기능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시나리오</t>
    </r>
  </si>
  <si>
    <t xml:space="preserve">3.0</t>
  </si>
  <si>
    <r>
      <rPr>
        <sz val="10"/>
        <rFont val="DejaVu Sans"/>
        <family val="2"/>
      </rPr>
      <t xml:space="preserve">관리 기능 및 </t>
    </r>
    <r>
      <rPr>
        <sz val="10"/>
        <rFont val="Arial"/>
        <family val="0"/>
        <charset val="1"/>
      </rPr>
      <t xml:space="preserve">UI</t>
    </r>
  </si>
  <si>
    <t xml:space="preserve">3.1</t>
  </si>
  <si>
    <t xml:space="preserve">Admin Console API</t>
  </si>
  <si>
    <t xml:space="preserve">8 roles, 15 menus</t>
  </si>
  <si>
    <t xml:space="preserve">3.2</t>
  </si>
  <si>
    <t xml:space="preserve">Admin Console UI</t>
  </si>
  <si>
    <t xml:space="preserve">프론트엔드</t>
  </si>
  <si>
    <r>
      <rPr>
        <sz val="10"/>
        <rFont val="Arial"/>
        <family val="0"/>
        <charset val="1"/>
      </rPr>
      <t xml:space="preserve">React </t>
    </r>
    <r>
      <rPr>
        <sz val="10"/>
        <rFont val="DejaVu Sans"/>
        <family val="2"/>
      </rPr>
      <t xml:space="preserve">대시보드</t>
    </r>
  </si>
  <si>
    <t xml:space="preserve">3.3</t>
  </si>
  <si>
    <r>
      <rPr>
        <sz val="10"/>
        <rFont val="DejaVu Sans"/>
        <family val="2"/>
      </rPr>
      <t xml:space="preserve">감사 로그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모니터링</t>
    </r>
  </si>
  <si>
    <t xml:space="preserve">2026-06-23</t>
  </si>
  <si>
    <r>
      <rPr>
        <sz val="10"/>
        <rFont val="Arial"/>
        <family val="0"/>
        <charset val="1"/>
      </rPr>
      <t xml:space="preserve">Time Series </t>
    </r>
    <r>
      <rPr>
        <sz val="10"/>
        <rFont val="DejaVu Sans"/>
        <family val="2"/>
      </rPr>
      <t xml:space="preserve">쿼리</t>
    </r>
  </si>
  <si>
    <t xml:space="preserve">3.4</t>
  </si>
  <si>
    <t xml:space="preserve">외부 커넥터</t>
  </si>
  <si>
    <t xml:space="preserve">Object Storage, CRM</t>
  </si>
  <si>
    <t xml:space="preserve">4.0</t>
  </si>
  <si>
    <r>
      <rPr>
        <sz val="10"/>
        <rFont val="DejaVu Sans"/>
        <family val="2"/>
      </rPr>
      <t xml:space="preserve">테스트 및 </t>
    </r>
    <r>
      <rPr>
        <sz val="10"/>
        <rFont val="Arial"/>
        <family val="0"/>
        <charset val="1"/>
      </rPr>
      <t xml:space="preserve">Go-Live</t>
    </r>
  </si>
  <si>
    <t xml:space="preserve">4.1</t>
  </si>
  <si>
    <t xml:space="preserve">단위 테스트</t>
  </si>
  <si>
    <t xml:space="preserve">전체팀</t>
  </si>
  <si>
    <t xml:space="preserve">pytest, 80% coverage</t>
  </si>
  <si>
    <t xml:space="preserve">4.2</t>
  </si>
  <si>
    <t xml:space="preserve">통합 테스트</t>
  </si>
  <si>
    <r>
      <rPr>
        <sz val="10"/>
        <rFont val="Arial"/>
        <family val="0"/>
        <charset val="1"/>
      </rPr>
      <t xml:space="preserve">QA</t>
    </r>
    <r>
      <rPr>
        <sz val="10"/>
        <rFont val="DejaVu Sans"/>
        <family val="2"/>
      </rPr>
      <t xml:space="preserve">팀</t>
    </r>
  </si>
  <si>
    <t xml:space="preserve">VBGW, E2E</t>
  </si>
  <si>
    <t xml:space="preserve">4.3</t>
  </si>
  <si>
    <t xml:space="preserve">성능 테스트</t>
  </si>
  <si>
    <t xml:space="preserve">2026-06-30</t>
  </si>
  <si>
    <t xml:space="preserve">100 concurrent sessions</t>
  </si>
  <si>
    <t xml:space="preserve">4.4</t>
  </si>
  <si>
    <t xml:space="preserve">보안 점검</t>
  </si>
  <si>
    <t xml:space="preserve">보안팀</t>
  </si>
  <si>
    <r>
      <rPr>
        <sz val="10"/>
        <rFont val="Arial"/>
        <family val="0"/>
        <charset val="1"/>
      </rPr>
      <t xml:space="preserve">OWASP, </t>
    </r>
    <r>
      <rPr>
        <sz val="10"/>
        <rFont val="DejaVu Sans"/>
        <family val="2"/>
      </rPr>
      <t xml:space="preserve">암호화</t>
    </r>
  </si>
  <si>
    <t xml:space="preserve">4.5</t>
  </si>
  <si>
    <r>
      <rPr>
        <sz val="10"/>
        <rFont val="Arial"/>
        <family val="0"/>
        <charset val="1"/>
      </rPr>
      <t xml:space="preserve">Go-Live </t>
    </r>
    <r>
      <rPr>
        <sz val="10"/>
        <rFont val="DejaVu Sans"/>
        <family val="2"/>
      </rPr>
      <t xml:space="preserve">체크리스트</t>
    </r>
  </si>
  <si>
    <t xml:space="preserve">2026-07-01</t>
  </si>
  <si>
    <t xml:space="preserve">G1~G5 gate, SLA</t>
  </si>
  <si>
    <t xml:space="preserve">4.6</t>
  </si>
  <si>
    <t xml:space="preserve">프로덕션 배포</t>
  </si>
  <si>
    <t xml:space="preserve">모니터링 설정</t>
  </si>
  <si>
    <t xml:space="preserve">스프린트</t>
  </si>
  <si>
    <t xml:space="preserve">기간</t>
  </si>
  <si>
    <t xml:space="preserve">목표</t>
  </si>
  <si>
    <t xml:space="preserve">완료기준</t>
  </si>
  <si>
    <t xml:space="preserve">Sprint 1</t>
  </si>
  <si>
    <t xml:space="preserve">2026-04-14 ~ 2026-04-25</t>
  </si>
  <si>
    <t xml:space="preserve">개발환경 구성 및 기반 인프라</t>
  </si>
  <si>
    <r>
      <rPr>
        <sz val="10"/>
        <rFont val="Arial"/>
        <family val="0"/>
        <charset val="1"/>
      </rPr>
      <t xml:space="preserve">Docker/MongoDB </t>
    </r>
    <r>
      <rPr>
        <sz val="10"/>
        <rFont val="DejaVu Sans"/>
        <family val="2"/>
      </rPr>
      <t xml:space="preserve">구성 완료</t>
    </r>
  </si>
  <si>
    <r>
      <rPr>
        <sz val="10"/>
        <rFont val="Arial"/>
        <family val="0"/>
        <charset val="1"/>
      </rPr>
      <t xml:space="preserve">GitHub Actions </t>
    </r>
    <r>
      <rPr>
        <sz val="10"/>
        <rFont val="DejaVu Sans"/>
        <family val="2"/>
      </rPr>
      <t xml:space="preserve">배포 확인</t>
    </r>
  </si>
  <si>
    <r>
      <rPr>
        <sz val="10"/>
        <rFont val="DejaVu Sans"/>
        <family val="2"/>
      </rPr>
      <t xml:space="preserve">컬렉션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인덱스 생성</t>
    </r>
  </si>
  <si>
    <t xml:space="preserve">Sprint 2</t>
  </si>
  <si>
    <t xml:space="preserve">2026-04-28 ~ 2026-05-09</t>
  </si>
  <si>
    <t xml:space="preserve">멀티테넌트 프레임워크 및 인증</t>
  </si>
  <si>
    <r>
      <rPr>
        <sz val="10"/>
        <rFont val="Arial"/>
        <family val="0"/>
        <charset val="1"/>
      </rPr>
      <t xml:space="preserve">Redis </t>
    </r>
    <r>
      <rPr>
        <sz val="10"/>
        <rFont val="DejaVu Sans"/>
        <family val="2"/>
      </rPr>
      <t xml:space="preserve">배포 확인</t>
    </r>
  </si>
  <si>
    <r>
      <rPr>
        <sz val="10"/>
        <rFont val="Arial"/>
        <family val="0"/>
        <charset val="1"/>
      </rPr>
      <t xml:space="preserve">RBAC </t>
    </r>
    <r>
      <rPr>
        <sz val="10"/>
        <rFont val="DejaVu Sans"/>
        <family val="2"/>
      </rPr>
      <t xml:space="preserve">스켈레톤 완성</t>
    </r>
  </si>
  <si>
    <r>
      <rPr>
        <sz val="10"/>
        <rFont val="Arial"/>
        <family val="0"/>
        <charset val="1"/>
      </rPr>
      <t xml:space="preserve">JWT </t>
    </r>
    <r>
      <rPr>
        <sz val="10"/>
        <rFont val="DejaVu Sans"/>
        <family val="2"/>
      </rPr>
      <t xml:space="preserve">토큰 검증</t>
    </r>
  </si>
  <si>
    <t xml:space="preserve">Sprint 3</t>
  </si>
  <si>
    <t xml:space="preserve">2026-05-12 ~ 2026-05-23</t>
  </si>
  <si>
    <r>
      <rPr>
        <sz val="10"/>
        <rFont val="DejaVu Sans"/>
        <family val="2"/>
      </rPr>
      <t xml:space="preserve">세션 </t>
    </r>
    <r>
      <rPr>
        <sz val="10"/>
        <rFont val="Arial"/>
        <family val="0"/>
        <charset val="1"/>
      </rPr>
      <t xml:space="preserve">FSM + VBGW </t>
    </r>
    <r>
      <rPr>
        <sz val="10"/>
        <rFont val="DejaVu Sans"/>
        <family val="2"/>
      </rPr>
      <t xml:space="preserve">연동</t>
    </r>
  </si>
  <si>
    <t xml:space="preserve">상태 전이 완성</t>
  </si>
  <si>
    <r>
      <rPr>
        <sz val="10"/>
        <rFont val="Arial"/>
        <family val="0"/>
        <charset val="1"/>
      </rPr>
      <t xml:space="preserve">VBGW </t>
    </r>
    <r>
      <rPr>
        <sz val="10"/>
        <rFont val="DejaVu Sans"/>
        <family val="2"/>
      </rPr>
      <t xml:space="preserve">통신 확인</t>
    </r>
  </si>
  <si>
    <t xml:space="preserve">Sprint 4</t>
  </si>
  <si>
    <t xml:space="preserve">2026-05-26 ~ 2026-06-06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</si>
  <si>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스택 통합 </t>
    </r>
    <r>
      <rPr>
        <sz val="10"/>
        <rFont val="Arial"/>
        <family val="0"/>
        <charset val="1"/>
      </rPr>
      <t xml:space="preserve">+ Policy Gate</t>
    </r>
  </si>
  <si>
    <r>
      <rPr>
        <sz val="10"/>
        <rFont val="Arial"/>
        <family val="0"/>
        <charset val="1"/>
      </rPr>
      <t xml:space="preserve">Groq Whisper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</si>
  <si>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Groq Llama </t>
    </r>
    <r>
      <rPr>
        <sz val="10"/>
        <rFont val="DejaVu Sans"/>
        <family val="2"/>
      </rPr>
      <t xml:space="preserve">응답</t>
    </r>
  </si>
  <si>
    <r>
      <rPr>
        <sz val="10"/>
        <rFont val="Arial"/>
        <family val="0"/>
        <charset val="1"/>
      </rPr>
      <t xml:space="preserve">Google Neural2 </t>
    </r>
    <r>
      <rPr>
        <sz val="10"/>
        <rFont val="DejaVu Sans"/>
        <family val="2"/>
      </rPr>
      <t xml:space="preserve">음성 출력</t>
    </r>
  </si>
  <si>
    <r>
      <rPr>
        <sz val="10"/>
        <rFont val="Arial"/>
        <family val="0"/>
        <charset val="1"/>
      </rPr>
      <t xml:space="preserve">G1~G5 </t>
    </r>
    <r>
      <rPr>
        <sz val="10"/>
        <rFont val="DejaVu Sans"/>
        <family val="2"/>
      </rPr>
      <t xml:space="preserve">게이트 검증</t>
    </r>
  </si>
  <si>
    <t xml:space="preserve">Sprint 5</t>
  </si>
  <si>
    <t xml:space="preserve">2026-06-09 ~ 2026-06-20</t>
  </si>
  <si>
    <r>
      <rPr>
        <sz val="10"/>
        <rFont val="Arial"/>
        <family val="0"/>
        <charset val="1"/>
      </rPr>
      <t xml:space="preserve">MCP </t>
    </r>
    <r>
      <rPr>
        <sz val="10"/>
        <rFont val="DejaVu Sans"/>
        <family val="2"/>
      </rPr>
      <t xml:space="preserve">커넥터 </t>
    </r>
    <r>
      <rPr>
        <sz val="10"/>
        <rFont val="Arial"/>
        <family val="0"/>
        <charset val="1"/>
      </rPr>
      <t xml:space="preserve">+ Admin Console</t>
    </r>
  </si>
  <si>
    <r>
      <rPr>
        <sz val="10"/>
        <rFont val="Arial"/>
        <family val="0"/>
        <charset val="1"/>
      </rPr>
      <t xml:space="preserve">BaseConnector </t>
    </r>
    <r>
      <rPr>
        <sz val="10"/>
        <rFont val="DejaVu Sans"/>
        <family val="2"/>
      </rPr>
      <t xml:space="preserve">완성</t>
    </r>
  </si>
  <si>
    <t xml:space="preserve">긴급 정지 기능</t>
  </si>
  <si>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엔드포인트 완성</t>
    </r>
  </si>
  <si>
    <r>
      <rPr>
        <sz val="10"/>
        <rFont val="DejaVu Sans"/>
        <family val="2"/>
      </rPr>
      <t xml:space="preserve">대시보드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관리화면</t>
    </r>
  </si>
  <si>
    <t xml:space="preserve">Sprint 6</t>
  </si>
  <si>
    <t xml:space="preserve">2026-06-23 ~ 2026-07-04</t>
  </si>
  <si>
    <r>
      <rPr>
        <sz val="10"/>
        <rFont val="DejaVu Sans"/>
        <family val="2"/>
      </rPr>
      <t xml:space="preserve">테스트 </t>
    </r>
    <r>
      <rPr>
        <sz val="10"/>
        <rFont val="Arial"/>
        <family val="0"/>
        <charset val="1"/>
      </rPr>
      <t xml:space="preserve">+ Go-Live</t>
    </r>
  </si>
  <si>
    <t xml:space="preserve">로그 대시보드</t>
  </si>
  <si>
    <r>
      <rPr>
        <sz val="10"/>
        <rFont val="Arial"/>
        <family val="0"/>
        <charset val="1"/>
      </rPr>
      <t xml:space="preserve">Object Storage </t>
    </r>
    <r>
      <rPr>
        <sz val="10"/>
        <rFont val="DejaVu Sans"/>
        <family val="2"/>
      </rPr>
      <t xml:space="preserve">연동</t>
    </r>
  </si>
  <si>
    <r>
      <rPr>
        <sz val="10"/>
        <rFont val="Arial"/>
        <family val="0"/>
        <charset val="1"/>
      </rPr>
      <t xml:space="preserve">80% </t>
    </r>
    <r>
      <rPr>
        <sz val="10"/>
        <rFont val="DejaVu Sans"/>
        <family val="2"/>
      </rPr>
      <t xml:space="preserve">커버리지</t>
    </r>
  </si>
  <si>
    <r>
      <rPr>
        <sz val="10"/>
        <rFont val="Arial"/>
        <family val="0"/>
        <charset val="1"/>
      </rPr>
      <t xml:space="preserve">E2E </t>
    </r>
    <r>
      <rPr>
        <sz val="10"/>
        <rFont val="DejaVu Sans"/>
        <family val="2"/>
      </rPr>
      <t xml:space="preserve">시나리오</t>
    </r>
  </si>
  <si>
    <r>
      <rPr>
        <sz val="10"/>
        <rFont val="Arial"/>
        <family val="0"/>
        <charset val="1"/>
      </rPr>
      <t xml:space="preserve">100 </t>
    </r>
    <r>
      <rPr>
        <sz val="10"/>
        <rFont val="DejaVu Sans"/>
        <family val="2"/>
      </rPr>
      <t xml:space="preserve">동시세션</t>
    </r>
  </si>
  <si>
    <r>
      <rPr>
        <sz val="10"/>
        <rFont val="Arial"/>
        <family val="0"/>
        <charset val="1"/>
      </rPr>
      <t xml:space="preserve">OWASP </t>
    </r>
    <r>
      <rPr>
        <sz val="10"/>
        <rFont val="DejaVu Sans"/>
        <family val="2"/>
      </rPr>
      <t xml:space="preserve">완료</t>
    </r>
  </si>
  <si>
    <r>
      <rPr>
        <sz val="10"/>
        <rFont val="Arial"/>
        <family val="0"/>
        <charset val="1"/>
      </rPr>
      <t xml:space="preserve">SLA </t>
    </r>
    <r>
      <rPr>
        <sz val="10"/>
        <rFont val="DejaVu Sans"/>
        <family val="2"/>
      </rPr>
      <t xml:space="preserve">확인</t>
    </r>
  </si>
  <si>
    <t xml:space="preserve">역할</t>
  </si>
  <si>
    <t xml:space="preserve">Sprint1</t>
  </si>
  <si>
    <t xml:space="preserve">Sprint2</t>
  </si>
  <si>
    <t xml:space="preserve">Sprint3</t>
  </si>
  <si>
    <t xml:space="preserve">Sprint4</t>
  </si>
  <si>
    <t xml:space="preserve">Sprint5</t>
  </si>
  <si>
    <t xml:space="preserve">Sprint6</t>
  </si>
  <si>
    <r>
      <rPr>
        <b val="true"/>
        <sz val="11"/>
        <color rgb="FFFFFFFF"/>
        <rFont val="DejaVu Sans"/>
        <family val="2"/>
      </rPr>
      <t xml:space="preserve">총공수</t>
    </r>
    <r>
      <rPr>
        <b val="true"/>
        <sz val="11"/>
        <color rgb="FFFFFFFF"/>
        <rFont val="Arial"/>
        <family val="0"/>
        <charset val="1"/>
      </rPr>
      <t xml:space="preserve">(MD)</t>
    </r>
  </si>
  <si>
    <t xml:space="preserve">프로젝트 관리자</t>
  </si>
  <si>
    <r>
      <rPr>
        <sz val="10"/>
        <rFont val="DejaVu Sans"/>
        <family val="2"/>
      </rPr>
      <t xml:space="preserve">백엔드</t>
    </r>
    <r>
      <rPr>
        <sz val="10"/>
        <rFont val="Arial"/>
        <family val="0"/>
        <charset val="1"/>
      </rPr>
      <t xml:space="preserve">_1</t>
    </r>
  </si>
  <si>
    <t xml:space="preserve">백엔드 개발자</t>
  </si>
  <si>
    <r>
      <rPr>
        <sz val="10"/>
        <rFont val="DejaVu Sans"/>
        <family val="2"/>
      </rPr>
      <t xml:space="preserve">백엔드</t>
    </r>
    <r>
      <rPr>
        <sz val="10"/>
        <rFont val="Arial"/>
        <family val="0"/>
        <charset val="1"/>
      </rPr>
      <t xml:space="preserve">_2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</si>
  <si>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팀</t>
    </r>
    <r>
      <rPr>
        <sz val="10"/>
        <rFont val="Arial"/>
        <family val="0"/>
        <charset val="1"/>
      </rPr>
      <t xml:space="preserve">_1</t>
    </r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</si>
  <si>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엔지니어</t>
    </r>
  </si>
  <si>
    <r>
      <rPr>
        <sz val="10"/>
        <rFont val="Arial"/>
        <family val="0"/>
        <charset val="1"/>
      </rPr>
      <t xml:space="preserve">AI</t>
    </r>
    <r>
      <rPr>
        <sz val="10"/>
        <rFont val="DejaVu Sans"/>
        <family val="2"/>
      </rPr>
      <t xml:space="preserve">팀</t>
    </r>
    <r>
      <rPr>
        <sz val="10"/>
        <rFont val="Arial"/>
        <family val="0"/>
        <charset val="1"/>
      </rPr>
      <t xml:space="preserve">_2</t>
    </r>
  </si>
  <si>
    <t xml:space="preserve">프론트엔드 개발자</t>
  </si>
  <si>
    <r>
      <rPr>
        <sz val="10"/>
        <rFont val="Arial"/>
        <family val="0"/>
        <charset val="1"/>
      </rPr>
      <t xml:space="preserve">DevOps </t>
    </r>
    <r>
      <rPr>
        <sz val="10"/>
        <rFont val="DejaVu Sans"/>
        <family val="2"/>
      </rPr>
      <t xml:space="preserve">엔지니어</t>
    </r>
  </si>
  <si>
    <r>
      <rPr>
        <sz val="10"/>
        <rFont val="Arial"/>
        <family val="0"/>
        <charset val="1"/>
      </rPr>
      <t xml:space="preserve">QA </t>
    </r>
    <r>
      <rPr>
        <sz val="10"/>
        <rFont val="DejaVu Sans"/>
        <family val="2"/>
      </rPr>
      <t xml:space="preserve">엔지니어</t>
    </r>
  </si>
  <si>
    <t xml:space="preserve">인프라 엔지니어</t>
  </si>
  <si>
    <t xml:space="preserve">보안 엔지니어</t>
  </si>
  <si>
    <t xml:space="preserve">ID</t>
  </si>
  <si>
    <t xml:space="preserve">리스크</t>
  </si>
  <si>
    <t xml:space="preserve">분류</t>
  </si>
  <si>
    <t xml:space="preserve">발생가능성</t>
  </si>
  <si>
    <t xml:space="preserve">영향도</t>
  </si>
  <si>
    <t xml:space="preserve">위험도</t>
  </si>
  <si>
    <t xml:space="preserve">대응방안</t>
  </si>
  <si>
    <t xml:space="preserve">R-01</t>
  </si>
  <si>
    <r>
      <rPr>
        <sz val="10"/>
        <rFont val="Arial"/>
        <family val="0"/>
        <charset val="1"/>
      </rPr>
      <t xml:space="preserve">Groq API </t>
    </r>
    <r>
      <rPr>
        <sz val="10"/>
        <rFont val="DejaVu Sans"/>
        <family val="2"/>
      </rPr>
      <t xml:space="preserve">지연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장애</t>
    </r>
  </si>
  <si>
    <t xml:space="preserve">기술</t>
  </si>
  <si>
    <t xml:space="preserve">중</t>
  </si>
  <si>
    <t xml:space="preserve">상</t>
  </si>
  <si>
    <t xml:space="preserve">고</t>
  </si>
  <si>
    <t xml:space="preserve">Circuit Breaker + Fallback LLM</t>
  </si>
  <si>
    <t xml:space="preserve">R-02</t>
  </si>
  <si>
    <r>
      <rPr>
        <sz val="10"/>
        <rFont val="Arial"/>
        <family val="0"/>
        <charset val="1"/>
      </rPr>
      <t xml:space="preserve">MongoDB Replica Set </t>
    </r>
    <r>
      <rPr>
        <sz val="10"/>
        <rFont val="DejaVu Sans"/>
        <family val="2"/>
      </rPr>
      <t xml:space="preserve">장애</t>
    </r>
  </si>
  <si>
    <t xml:space="preserve">인프라</t>
  </si>
  <si>
    <t xml:space="preserve">하</t>
  </si>
  <si>
    <r>
      <rPr>
        <sz val="10"/>
        <rFont val="Arial"/>
        <family val="0"/>
        <charset val="1"/>
      </rPr>
      <t xml:space="preserve">Failover </t>
    </r>
    <r>
      <rPr>
        <sz val="10"/>
        <rFont val="DejaVu Sans"/>
        <family val="2"/>
      </rPr>
      <t xml:space="preserve">자동화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백업 검증</t>
    </r>
  </si>
  <si>
    <t xml:space="preserve">R-03</t>
  </si>
  <si>
    <r>
      <rPr>
        <sz val="10"/>
        <rFont val="Arial"/>
        <family val="0"/>
        <charset val="1"/>
      </rPr>
      <t xml:space="preserve">VBGW </t>
    </r>
    <r>
      <rPr>
        <sz val="10"/>
        <rFont val="DejaVu Sans"/>
        <family val="2"/>
      </rPr>
      <t xml:space="preserve">연동 스펙 변경</t>
    </r>
  </si>
  <si>
    <t xml:space="preserve">외부</t>
  </si>
  <si>
    <r>
      <rPr>
        <sz val="10"/>
        <rFont val="DejaVu Sans"/>
        <family val="2"/>
      </rPr>
      <t xml:space="preserve">어댑터 레이어 추가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버전 핀</t>
    </r>
  </si>
  <si>
    <t xml:space="preserve">R-04</t>
  </si>
  <si>
    <r>
      <rPr>
        <sz val="10"/>
        <rFont val="DejaVu Sans"/>
        <family val="2"/>
      </rPr>
      <t xml:space="preserve">개발 일정 지연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공수 산정 오류</t>
    </r>
    <r>
      <rPr>
        <sz val="10"/>
        <rFont val="Arial"/>
        <family val="0"/>
        <charset val="1"/>
      </rPr>
      <t xml:space="preserve">)</t>
    </r>
  </si>
  <si>
    <t xml:space="preserve">일정</t>
  </si>
  <si>
    <r>
      <rPr>
        <sz val="10"/>
        <rFont val="DejaVu Sans"/>
        <family val="2"/>
      </rPr>
      <t xml:space="preserve">버퍼 </t>
    </r>
    <r>
      <rPr>
        <sz val="10"/>
        <rFont val="Arial"/>
        <family val="0"/>
        <charset val="1"/>
      </rPr>
      <t xml:space="preserve">10% </t>
    </r>
    <r>
      <rPr>
        <sz val="10"/>
        <rFont val="DejaVu Sans"/>
        <family val="2"/>
      </rPr>
      <t xml:space="preserve">포함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스코프 조정</t>
    </r>
  </si>
  <si>
    <t xml:space="preserve">R-05</t>
  </si>
  <si>
    <t xml:space="preserve">멀티테넌트 보안 취약점</t>
  </si>
  <si>
    <t xml:space="preserve">보안</t>
  </si>
  <si>
    <r>
      <rPr>
        <sz val="10"/>
        <rFont val="DejaVu Sans"/>
        <family val="2"/>
      </rPr>
      <t xml:space="preserve">코드 리뷰 </t>
    </r>
    <r>
      <rPr>
        <sz val="10"/>
        <rFont val="Arial"/>
        <family val="0"/>
        <charset val="1"/>
      </rPr>
      <t xml:space="preserve">+ OWASP </t>
    </r>
    <r>
      <rPr>
        <sz val="10"/>
        <rFont val="DejaVu Sans"/>
        <family val="2"/>
      </rPr>
      <t xml:space="preserve">점검</t>
    </r>
  </si>
  <si>
    <r>
      <rPr>
        <sz val="10"/>
        <rFont val="DejaVu Sans"/>
        <family val="2"/>
      </rPr>
      <t xml:space="preserve">백엔드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보안팀</t>
    </r>
  </si>
  <si>
    <t xml:space="preserve">R-06</t>
  </si>
  <si>
    <r>
      <rPr>
        <sz val="10"/>
        <rFont val="DejaVu Sans"/>
        <family val="2"/>
      </rPr>
      <t xml:space="preserve">성능 목표 미달 </t>
    </r>
    <r>
      <rPr>
        <sz val="10"/>
        <rFont val="Arial"/>
        <family val="0"/>
        <charset val="1"/>
      </rPr>
      <t xml:space="preserve">(100 </t>
    </r>
    <r>
      <rPr>
        <sz val="10"/>
        <rFont val="DejaVu Sans"/>
        <family val="2"/>
      </rPr>
      <t xml:space="preserve">동시세션</t>
    </r>
    <r>
      <rPr>
        <sz val="10"/>
        <rFont val="Arial"/>
        <family val="0"/>
        <charset val="1"/>
      </rPr>
      <t xml:space="preserve">)</t>
    </r>
  </si>
  <si>
    <t xml:space="preserve">성능</t>
  </si>
  <si>
    <r>
      <rPr>
        <sz val="10"/>
        <rFont val="Arial"/>
        <family val="0"/>
        <charset val="1"/>
      </rPr>
      <t xml:space="preserve">Locust </t>
    </r>
    <r>
      <rPr>
        <sz val="10"/>
        <rFont val="DejaVu Sans"/>
        <family val="2"/>
      </rPr>
      <t xml:space="preserve">조기 테스트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아키텍처 최적화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</si>
</sst>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BF2FB"/>
        <bgColor rgb="FFFFFFFF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2FB"/>
      <rgbColor rgb="FF660066"/>
      <rgbColor rgb="FFFF8080"/>
      <rgbColor rgb="FF0070C0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4" t="s">
        <v>11</v>
      </c>
      <c r="C2" s="5" t="s">
        <v>12</v>
      </c>
      <c r="D2" s="3" t="s">
        <v>13</v>
      </c>
      <c r="E2" s="3"/>
      <c r="F2" s="3" t="s">
        <v>14</v>
      </c>
      <c r="G2" s="3"/>
      <c r="H2" s="3"/>
      <c r="I2" s="5" t="s">
        <v>15</v>
      </c>
      <c r="J2" s="5"/>
    </row>
    <row r="3" customFormat="false" ht="23.85" hidden="false" customHeight="false" outlineLevel="0" collapsed="false">
      <c r="A3" s="6" t="s">
        <v>16</v>
      </c>
      <c r="B3" s="6" t="s">
        <v>17</v>
      </c>
      <c r="C3" s="7" t="s">
        <v>18</v>
      </c>
      <c r="D3" s="8" t="s">
        <v>19</v>
      </c>
      <c r="E3" s="6" t="n">
        <v>3</v>
      </c>
      <c r="F3" s="6" t="s">
        <v>14</v>
      </c>
      <c r="G3" s="6" t="n">
        <f aca="false">WORKDAY(F3, E3-1)</f>
        <v>46128</v>
      </c>
      <c r="H3" s="6"/>
      <c r="I3" s="7" t="s">
        <v>15</v>
      </c>
      <c r="J3" s="9" t="s">
        <v>20</v>
      </c>
    </row>
    <row r="4" customFormat="false" ht="15" hidden="false" customHeight="false" outlineLevel="0" collapsed="false">
      <c r="A4" s="3" t="s">
        <v>21</v>
      </c>
      <c r="B4" s="3" t="s">
        <v>17</v>
      </c>
      <c r="C4" s="10" t="s">
        <v>22</v>
      </c>
      <c r="D4" s="3" t="s">
        <v>23</v>
      </c>
      <c r="E4" s="3" t="n">
        <v>4</v>
      </c>
      <c r="F4" s="3" t="s">
        <v>14</v>
      </c>
      <c r="G4" s="3" t="n">
        <f aca="false">WORKDAY(F4, E4-1)</f>
        <v>46129</v>
      </c>
      <c r="H4" s="3"/>
      <c r="I4" s="5" t="s">
        <v>15</v>
      </c>
      <c r="J4" s="10" t="s">
        <v>24</v>
      </c>
    </row>
    <row r="5" customFormat="false" ht="23.85" hidden="false" customHeight="false" outlineLevel="0" collapsed="false">
      <c r="A5" s="6" t="s">
        <v>25</v>
      </c>
      <c r="B5" s="6" t="s">
        <v>17</v>
      </c>
      <c r="C5" s="9" t="s">
        <v>26</v>
      </c>
      <c r="D5" s="8" t="s">
        <v>27</v>
      </c>
      <c r="E5" s="6" t="n">
        <v>5</v>
      </c>
      <c r="F5" s="6" t="s">
        <v>14</v>
      </c>
      <c r="G5" s="6" t="n">
        <f aca="false">WORKDAY(F5, E5-1)</f>
        <v>46132</v>
      </c>
      <c r="H5" s="6"/>
      <c r="I5" s="7" t="s">
        <v>15</v>
      </c>
      <c r="J5" s="9" t="s">
        <v>28</v>
      </c>
    </row>
    <row r="6" customFormat="false" ht="15" hidden="false" customHeight="false" outlineLevel="0" collapsed="false">
      <c r="A6" s="3" t="s">
        <v>29</v>
      </c>
      <c r="B6" s="3" t="s">
        <v>17</v>
      </c>
      <c r="C6" s="10" t="s">
        <v>30</v>
      </c>
      <c r="D6" s="11" t="s">
        <v>19</v>
      </c>
      <c r="E6" s="3" t="n">
        <v>2</v>
      </c>
      <c r="F6" s="3" t="s">
        <v>31</v>
      </c>
      <c r="G6" s="3" t="n">
        <f aca="false">WORKDAY(F6, E6-1)</f>
        <v>46134</v>
      </c>
      <c r="H6" s="3" t="s">
        <v>16</v>
      </c>
      <c r="I6" s="5" t="s">
        <v>15</v>
      </c>
      <c r="J6" s="10" t="s">
        <v>32</v>
      </c>
    </row>
    <row r="7" customFormat="false" ht="15" hidden="false" customHeight="false" outlineLevel="0" collapsed="false">
      <c r="A7" s="6" t="s">
        <v>33</v>
      </c>
      <c r="B7" s="6" t="s">
        <v>17</v>
      </c>
      <c r="C7" s="7" t="s">
        <v>34</v>
      </c>
      <c r="D7" s="8" t="s">
        <v>27</v>
      </c>
      <c r="E7" s="6" t="n">
        <v>5</v>
      </c>
      <c r="F7" s="6" t="s">
        <v>35</v>
      </c>
      <c r="G7" s="6" t="n">
        <f aca="false">WORKDAY(F7, E7-1)</f>
        <v>46146</v>
      </c>
      <c r="H7" s="6" t="s">
        <v>25</v>
      </c>
      <c r="I7" s="7" t="s">
        <v>15</v>
      </c>
      <c r="J7" s="9" t="s">
        <v>36</v>
      </c>
    </row>
    <row r="8" customFormat="false" ht="15" hidden="false" customHeight="false" outlineLevel="0" collapsed="false">
      <c r="A8" s="3" t="s">
        <v>37</v>
      </c>
      <c r="B8" s="3" t="s">
        <v>17</v>
      </c>
      <c r="C8" s="10" t="s">
        <v>38</v>
      </c>
      <c r="D8" s="11" t="s">
        <v>27</v>
      </c>
      <c r="E8" s="3" t="n">
        <v>4</v>
      </c>
      <c r="F8" s="3" t="s">
        <v>35</v>
      </c>
      <c r="G8" s="3" t="n">
        <f aca="false">WORKDAY(F8, E8-1)</f>
        <v>46143</v>
      </c>
      <c r="H8" s="3" t="s">
        <v>25</v>
      </c>
      <c r="I8" s="5" t="s">
        <v>15</v>
      </c>
      <c r="J8" s="10" t="s">
        <v>39</v>
      </c>
    </row>
    <row r="9" customFormat="false" ht="15" hidden="false" customHeight="false" outlineLevel="0" collapsed="false">
      <c r="A9" s="6" t="s">
        <v>40</v>
      </c>
      <c r="B9" s="4" t="s">
        <v>11</v>
      </c>
      <c r="C9" s="7" t="s">
        <v>41</v>
      </c>
      <c r="D9" s="6" t="s">
        <v>13</v>
      </c>
      <c r="E9" s="6"/>
      <c r="F9" s="6" t="s">
        <v>42</v>
      </c>
      <c r="G9" s="6"/>
      <c r="H9" s="6"/>
      <c r="I9" s="7" t="s">
        <v>15</v>
      </c>
      <c r="J9" s="9"/>
    </row>
    <row r="10" customFormat="false" ht="15" hidden="false" customHeight="false" outlineLevel="0" collapsed="false">
      <c r="A10" s="3" t="s">
        <v>43</v>
      </c>
      <c r="B10" s="3" t="s">
        <v>17</v>
      </c>
      <c r="C10" s="5" t="s">
        <v>44</v>
      </c>
      <c r="D10" s="11" t="s">
        <v>27</v>
      </c>
      <c r="E10" s="3" t="n">
        <v>8</v>
      </c>
      <c r="F10" s="3" t="s">
        <v>42</v>
      </c>
      <c r="G10" s="3" t="n">
        <f aca="false">WORKDAY(F10, E10-1)</f>
        <v>46163</v>
      </c>
      <c r="H10" s="3" t="s">
        <v>37</v>
      </c>
      <c r="I10" s="5" t="s">
        <v>15</v>
      </c>
      <c r="J10" s="10" t="s">
        <v>45</v>
      </c>
    </row>
    <row r="11" customFormat="false" ht="23.85" hidden="false" customHeight="false" outlineLevel="0" collapsed="false">
      <c r="A11" s="6" t="s">
        <v>46</v>
      </c>
      <c r="B11" s="6" t="s">
        <v>17</v>
      </c>
      <c r="C11" s="9" t="s">
        <v>47</v>
      </c>
      <c r="D11" s="8" t="s">
        <v>27</v>
      </c>
      <c r="E11" s="6" t="n">
        <v>6</v>
      </c>
      <c r="F11" s="6" t="s">
        <v>42</v>
      </c>
      <c r="G11" s="6" t="n">
        <f aca="false">WORKDAY(F11, E11-1)</f>
        <v>46161</v>
      </c>
      <c r="H11" s="6" t="s">
        <v>37</v>
      </c>
      <c r="I11" s="7" t="s">
        <v>15</v>
      </c>
      <c r="J11" s="9" t="s">
        <v>48</v>
      </c>
    </row>
    <row r="12" customFormat="false" ht="23.85" hidden="false" customHeight="false" outlineLevel="0" collapsed="false">
      <c r="A12" s="3" t="s">
        <v>49</v>
      </c>
      <c r="B12" s="3" t="s">
        <v>17</v>
      </c>
      <c r="C12" s="10" t="s">
        <v>50</v>
      </c>
      <c r="D12" s="3" t="s">
        <v>51</v>
      </c>
      <c r="E12" s="3" t="n">
        <v>5</v>
      </c>
      <c r="F12" s="3" t="s">
        <v>52</v>
      </c>
      <c r="G12" s="3" t="n">
        <f aca="false">WORKDAY(F12, E12-1)</f>
        <v>46174</v>
      </c>
      <c r="H12" s="3" t="s">
        <v>46</v>
      </c>
      <c r="I12" s="5" t="s">
        <v>15</v>
      </c>
      <c r="J12" s="10" t="s">
        <v>53</v>
      </c>
    </row>
    <row r="13" customFormat="false" ht="23.85" hidden="false" customHeight="false" outlineLevel="0" collapsed="false">
      <c r="A13" s="6" t="s">
        <v>54</v>
      </c>
      <c r="B13" s="6" t="s">
        <v>17</v>
      </c>
      <c r="C13" s="9" t="s">
        <v>55</v>
      </c>
      <c r="D13" s="6" t="s">
        <v>51</v>
      </c>
      <c r="E13" s="6" t="n">
        <v>6</v>
      </c>
      <c r="F13" s="6" t="s">
        <v>52</v>
      </c>
      <c r="G13" s="6" t="n">
        <f aca="false">WORKDAY(F13, E13-1)</f>
        <v>46175</v>
      </c>
      <c r="H13" s="6" t="s">
        <v>43</v>
      </c>
      <c r="I13" s="7" t="s">
        <v>15</v>
      </c>
      <c r="J13" s="9" t="s">
        <v>56</v>
      </c>
    </row>
    <row r="14" customFormat="false" ht="23.85" hidden="false" customHeight="false" outlineLevel="0" collapsed="false">
      <c r="A14" s="3" t="s">
        <v>57</v>
      </c>
      <c r="B14" s="3" t="s">
        <v>17</v>
      </c>
      <c r="C14" s="10" t="s">
        <v>58</v>
      </c>
      <c r="D14" s="3" t="s">
        <v>51</v>
      </c>
      <c r="E14" s="3" t="n">
        <v>4</v>
      </c>
      <c r="F14" s="3" t="s">
        <v>52</v>
      </c>
      <c r="G14" s="3" t="n">
        <f aca="false">WORKDAY(F14, E14-1)</f>
        <v>46171</v>
      </c>
      <c r="H14" s="3" t="s">
        <v>54</v>
      </c>
      <c r="I14" s="5" t="s">
        <v>15</v>
      </c>
      <c r="J14" s="10" t="s">
        <v>59</v>
      </c>
    </row>
    <row r="15" customFormat="false" ht="15" hidden="false" customHeight="false" outlineLevel="0" collapsed="false">
      <c r="A15" s="6" t="s">
        <v>60</v>
      </c>
      <c r="B15" s="6" t="s">
        <v>17</v>
      </c>
      <c r="C15" s="9" t="s">
        <v>61</v>
      </c>
      <c r="D15" s="8" t="s">
        <v>27</v>
      </c>
      <c r="E15" s="6" t="n">
        <v>5</v>
      </c>
      <c r="F15" s="6" t="s">
        <v>52</v>
      </c>
      <c r="G15" s="6" t="n">
        <f aca="false">WORKDAY(F15, E15-1)</f>
        <v>46174</v>
      </c>
      <c r="H15" s="6" t="s">
        <v>46</v>
      </c>
      <c r="I15" s="7" t="s">
        <v>15</v>
      </c>
      <c r="J15" s="9" t="s">
        <v>62</v>
      </c>
    </row>
    <row r="16" customFormat="false" ht="15" hidden="false" customHeight="false" outlineLevel="0" collapsed="false">
      <c r="A16" s="3" t="s">
        <v>63</v>
      </c>
      <c r="B16" s="3" t="s">
        <v>17</v>
      </c>
      <c r="C16" s="10" t="s">
        <v>64</v>
      </c>
      <c r="D16" s="11" t="s">
        <v>27</v>
      </c>
      <c r="E16" s="3" t="n">
        <v>6</v>
      </c>
      <c r="F16" s="3" t="s">
        <v>65</v>
      </c>
      <c r="G16" s="3" t="n">
        <f aca="false">WORKDAY(F16, E16-1)</f>
        <v>46189</v>
      </c>
      <c r="H16" s="3" t="s">
        <v>60</v>
      </c>
      <c r="I16" s="5" t="s">
        <v>15</v>
      </c>
      <c r="J16" s="10" t="s">
        <v>66</v>
      </c>
    </row>
    <row r="17" customFormat="false" ht="15" hidden="false" customHeight="false" outlineLevel="0" collapsed="false">
      <c r="A17" s="6" t="s">
        <v>67</v>
      </c>
      <c r="B17" s="6" t="s">
        <v>17</v>
      </c>
      <c r="C17" s="9" t="s">
        <v>68</v>
      </c>
      <c r="D17" s="8" t="s">
        <v>27</v>
      </c>
      <c r="E17" s="6" t="n">
        <v>3</v>
      </c>
      <c r="F17" s="6" t="s">
        <v>65</v>
      </c>
      <c r="G17" s="6" t="n">
        <f aca="false">WORKDAY(F17, E17-1)</f>
        <v>46184</v>
      </c>
      <c r="H17" s="6" t="s">
        <v>60</v>
      </c>
      <c r="I17" s="7" t="s">
        <v>15</v>
      </c>
      <c r="J17" s="7" t="s">
        <v>69</v>
      </c>
    </row>
    <row r="18" customFormat="false" ht="15" hidden="false" customHeight="false" outlineLevel="0" collapsed="false">
      <c r="A18" s="3" t="s">
        <v>70</v>
      </c>
      <c r="B18" s="4" t="s">
        <v>11</v>
      </c>
      <c r="C18" s="5" t="s">
        <v>71</v>
      </c>
      <c r="D18" s="3" t="s">
        <v>13</v>
      </c>
      <c r="E18" s="3"/>
      <c r="F18" s="3" t="s">
        <v>65</v>
      </c>
      <c r="G18" s="3"/>
      <c r="H18" s="3"/>
      <c r="I18" s="5" t="s">
        <v>15</v>
      </c>
      <c r="J18" s="10"/>
    </row>
    <row r="19" customFormat="false" ht="15" hidden="false" customHeight="false" outlineLevel="0" collapsed="false">
      <c r="A19" s="6" t="s">
        <v>72</v>
      </c>
      <c r="B19" s="6" t="s">
        <v>17</v>
      </c>
      <c r="C19" s="9" t="s">
        <v>73</v>
      </c>
      <c r="D19" s="8" t="s">
        <v>27</v>
      </c>
      <c r="E19" s="6" t="n">
        <v>6</v>
      </c>
      <c r="F19" s="6" t="s">
        <v>65</v>
      </c>
      <c r="G19" s="6" t="n">
        <f aca="false">WORKDAY(F19, E19-1)</f>
        <v>46189</v>
      </c>
      <c r="H19" s="6" t="s">
        <v>37</v>
      </c>
      <c r="I19" s="7" t="s">
        <v>15</v>
      </c>
      <c r="J19" s="9" t="s">
        <v>74</v>
      </c>
    </row>
    <row r="20" customFormat="false" ht="15" hidden="false" customHeight="false" outlineLevel="0" collapsed="false">
      <c r="A20" s="3" t="s">
        <v>75</v>
      </c>
      <c r="B20" s="3" t="s">
        <v>17</v>
      </c>
      <c r="C20" s="10" t="s">
        <v>76</v>
      </c>
      <c r="D20" s="11" t="s">
        <v>77</v>
      </c>
      <c r="E20" s="3" t="n">
        <v>10</v>
      </c>
      <c r="F20" s="3" t="s">
        <v>65</v>
      </c>
      <c r="G20" s="3" t="n">
        <f aca="false">WORKDAY(F20, E20-1)</f>
        <v>46195</v>
      </c>
      <c r="H20" s="3" t="s">
        <v>72</v>
      </c>
      <c r="I20" s="5" t="s">
        <v>15</v>
      </c>
      <c r="J20" s="10" t="s">
        <v>78</v>
      </c>
    </row>
    <row r="21" customFormat="false" ht="15" hidden="false" customHeight="false" outlineLevel="0" collapsed="false">
      <c r="A21" s="6" t="s">
        <v>79</v>
      </c>
      <c r="B21" s="6" t="s">
        <v>17</v>
      </c>
      <c r="C21" s="7" t="s">
        <v>80</v>
      </c>
      <c r="D21" s="8" t="s">
        <v>27</v>
      </c>
      <c r="E21" s="6" t="n">
        <v>4</v>
      </c>
      <c r="F21" s="6" t="s">
        <v>81</v>
      </c>
      <c r="G21" s="6" t="n">
        <f aca="false">WORKDAY(F21, E21-1)</f>
        <v>46199</v>
      </c>
      <c r="H21" s="6" t="s">
        <v>43</v>
      </c>
      <c r="I21" s="7" t="s">
        <v>15</v>
      </c>
      <c r="J21" s="9" t="s">
        <v>82</v>
      </c>
    </row>
    <row r="22" customFormat="false" ht="15" hidden="false" customHeight="false" outlineLevel="0" collapsed="false">
      <c r="A22" s="3" t="s">
        <v>83</v>
      </c>
      <c r="B22" s="3" t="s">
        <v>17</v>
      </c>
      <c r="C22" s="5" t="s">
        <v>84</v>
      </c>
      <c r="D22" s="11" t="s">
        <v>27</v>
      </c>
      <c r="E22" s="3" t="n">
        <v>4</v>
      </c>
      <c r="F22" s="3" t="s">
        <v>81</v>
      </c>
      <c r="G22" s="3" t="n">
        <f aca="false">WORKDAY(F22, E22-1)</f>
        <v>46199</v>
      </c>
      <c r="H22" s="3" t="s">
        <v>63</v>
      </c>
      <c r="I22" s="5" t="s">
        <v>15</v>
      </c>
      <c r="J22" s="10" t="s">
        <v>85</v>
      </c>
    </row>
    <row r="23" customFormat="false" ht="15" hidden="false" customHeight="false" outlineLevel="0" collapsed="false">
      <c r="A23" s="6" t="s">
        <v>86</v>
      </c>
      <c r="B23" s="4" t="s">
        <v>11</v>
      </c>
      <c r="C23" s="7" t="s">
        <v>87</v>
      </c>
      <c r="D23" s="6" t="s">
        <v>13</v>
      </c>
      <c r="E23" s="6"/>
      <c r="F23" s="6" t="s">
        <v>81</v>
      </c>
      <c r="G23" s="6"/>
      <c r="H23" s="6"/>
      <c r="I23" s="7" t="s">
        <v>15</v>
      </c>
      <c r="J23" s="9"/>
    </row>
    <row r="24" customFormat="false" ht="15" hidden="false" customHeight="false" outlineLevel="0" collapsed="false">
      <c r="A24" s="3" t="s">
        <v>88</v>
      </c>
      <c r="B24" s="3" t="s">
        <v>17</v>
      </c>
      <c r="C24" s="5" t="s">
        <v>89</v>
      </c>
      <c r="D24" s="11" t="s">
        <v>90</v>
      </c>
      <c r="E24" s="3" t="n">
        <v>5</v>
      </c>
      <c r="F24" s="3" t="s">
        <v>81</v>
      </c>
      <c r="G24" s="3" t="n">
        <f aca="false">WORKDAY(F24, E24-1)</f>
        <v>46202</v>
      </c>
      <c r="H24" s="3" t="s">
        <v>67</v>
      </c>
      <c r="I24" s="5" t="s">
        <v>15</v>
      </c>
      <c r="J24" s="10" t="s">
        <v>91</v>
      </c>
    </row>
    <row r="25" customFormat="false" ht="15" hidden="false" customHeight="false" outlineLevel="0" collapsed="false">
      <c r="A25" s="6" t="s">
        <v>92</v>
      </c>
      <c r="B25" s="6" t="s">
        <v>17</v>
      </c>
      <c r="C25" s="7" t="s">
        <v>93</v>
      </c>
      <c r="D25" s="6" t="s">
        <v>94</v>
      </c>
      <c r="E25" s="6" t="n">
        <v>5</v>
      </c>
      <c r="F25" s="6" t="s">
        <v>81</v>
      </c>
      <c r="G25" s="6" t="n">
        <f aca="false">WORKDAY(F25, E25-1)</f>
        <v>46202</v>
      </c>
      <c r="H25" s="6" t="s">
        <v>88</v>
      </c>
      <c r="I25" s="7" t="s">
        <v>15</v>
      </c>
      <c r="J25" s="9" t="s">
        <v>95</v>
      </c>
    </row>
    <row r="26" customFormat="false" ht="23.85" hidden="false" customHeight="false" outlineLevel="0" collapsed="false">
      <c r="A26" s="3" t="s">
        <v>96</v>
      </c>
      <c r="B26" s="3" t="s">
        <v>17</v>
      </c>
      <c r="C26" s="5" t="s">
        <v>97</v>
      </c>
      <c r="D26" s="3" t="s">
        <v>94</v>
      </c>
      <c r="E26" s="3" t="n">
        <v>3</v>
      </c>
      <c r="F26" s="3" t="s">
        <v>98</v>
      </c>
      <c r="G26" s="3" t="n">
        <f aca="false">WORKDAY(F26, E26-1)</f>
        <v>46205</v>
      </c>
      <c r="H26" s="3" t="s">
        <v>92</v>
      </c>
      <c r="I26" s="5" t="s">
        <v>15</v>
      </c>
      <c r="J26" s="10" t="s">
        <v>99</v>
      </c>
    </row>
    <row r="27" customFormat="false" ht="15" hidden="false" customHeight="false" outlineLevel="0" collapsed="false">
      <c r="A27" s="6" t="s">
        <v>100</v>
      </c>
      <c r="B27" s="6" t="s">
        <v>17</v>
      </c>
      <c r="C27" s="7" t="s">
        <v>101</v>
      </c>
      <c r="D27" s="8" t="s">
        <v>102</v>
      </c>
      <c r="E27" s="6" t="n">
        <v>3</v>
      </c>
      <c r="F27" s="6" t="s">
        <v>98</v>
      </c>
      <c r="G27" s="6" t="n">
        <f aca="false">WORKDAY(F27, E27-1)</f>
        <v>46205</v>
      </c>
      <c r="H27" s="6" t="s">
        <v>92</v>
      </c>
      <c r="I27" s="7" t="s">
        <v>15</v>
      </c>
      <c r="J27" s="9" t="s">
        <v>103</v>
      </c>
    </row>
    <row r="28" customFormat="false" ht="15" hidden="false" customHeight="false" outlineLevel="0" collapsed="false">
      <c r="A28" s="3" t="s">
        <v>104</v>
      </c>
      <c r="B28" s="3" t="s">
        <v>17</v>
      </c>
      <c r="C28" s="10" t="s">
        <v>105</v>
      </c>
      <c r="D28" s="3" t="s">
        <v>13</v>
      </c>
      <c r="E28" s="3" t="n">
        <v>2</v>
      </c>
      <c r="F28" s="3" t="s">
        <v>106</v>
      </c>
      <c r="G28" s="3" t="n">
        <f aca="false">WORKDAY(F28, E28-1)</f>
        <v>46205</v>
      </c>
      <c r="H28" s="3" t="s">
        <v>100</v>
      </c>
      <c r="I28" s="5" t="s">
        <v>15</v>
      </c>
      <c r="J28" s="10" t="s">
        <v>107</v>
      </c>
    </row>
    <row r="29" customFormat="false" ht="15" hidden="false" customHeight="false" outlineLevel="0" collapsed="false">
      <c r="A29" s="6" t="s">
        <v>108</v>
      </c>
      <c r="B29" s="6" t="s">
        <v>17</v>
      </c>
      <c r="C29" s="7" t="s">
        <v>109</v>
      </c>
      <c r="D29" s="6" t="s">
        <v>23</v>
      </c>
      <c r="E29" s="6" t="n">
        <v>3</v>
      </c>
      <c r="F29" s="6" t="s">
        <v>106</v>
      </c>
      <c r="G29" s="6" t="n">
        <f aca="false">WORKDAY(F29, E29-1)</f>
        <v>46206</v>
      </c>
      <c r="H29" s="6" t="s">
        <v>104</v>
      </c>
      <c r="I29" s="7" t="s">
        <v>15</v>
      </c>
      <c r="J29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2" t="s">
        <v>111</v>
      </c>
      <c r="B1" s="2" t="s">
        <v>112</v>
      </c>
      <c r="C1" s="2" t="s">
        <v>113</v>
      </c>
      <c r="D1" s="1" t="s">
        <v>0</v>
      </c>
      <c r="E1" s="2" t="s">
        <v>2</v>
      </c>
      <c r="F1" s="2" t="s">
        <v>3</v>
      </c>
      <c r="G1" s="2" t="s">
        <v>4</v>
      </c>
      <c r="H1" s="2" t="s">
        <v>114</v>
      </c>
    </row>
    <row r="2" customFormat="false" ht="23.85" hidden="false" customHeight="false" outlineLevel="0" collapsed="false">
      <c r="A2" s="10" t="s">
        <v>115</v>
      </c>
      <c r="B2" s="10" t="s">
        <v>116</v>
      </c>
      <c r="C2" s="5" t="s">
        <v>117</v>
      </c>
      <c r="D2" s="10" t="s">
        <v>16</v>
      </c>
      <c r="E2" s="5" t="s">
        <v>18</v>
      </c>
      <c r="F2" s="5" t="s">
        <v>19</v>
      </c>
      <c r="G2" s="10" t="n">
        <v>3</v>
      </c>
      <c r="H2" s="10" t="s">
        <v>118</v>
      </c>
    </row>
    <row r="3" customFormat="false" ht="15" hidden="false" customHeight="false" outlineLevel="0" collapsed="false">
      <c r="A3" s="9"/>
      <c r="B3" s="9"/>
      <c r="C3" s="9"/>
      <c r="D3" s="9" t="s">
        <v>21</v>
      </c>
      <c r="E3" s="9" t="s">
        <v>22</v>
      </c>
      <c r="F3" s="9" t="s">
        <v>23</v>
      </c>
      <c r="G3" s="9" t="n">
        <v>4</v>
      </c>
      <c r="H3" s="9" t="s">
        <v>119</v>
      </c>
    </row>
    <row r="4" customFormat="false" ht="15" hidden="false" customHeight="false" outlineLevel="0" collapsed="false">
      <c r="A4" s="10"/>
      <c r="B4" s="10"/>
      <c r="C4" s="10"/>
      <c r="D4" s="10" t="s">
        <v>25</v>
      </c>
      <c r="E4" s="10" t="s">
        <v>26</v>
      </c>
      <c r="F4" s="5" t="s">
        <v>27</v>
      </c>
      <c r="G4" s="10" t="n">
        <v>5</v>
      </c>
      <c r="H4" s="5" t="s">
        <v>120</v>
      </c>
    </row>
    <row r="5" customFormat="false" ht="23.85" hidden="false" customHeight="false" outlineLevel="0" collapsed="false">
      <c r="A5" s="9" t="s">
        <v>121</v>
      </c>
      <c r="B5" s="9" t="s">
        <v>122</v>
      </c>
      <c r="C5" s="7" t="s">
        <v>123</v>
      </c>
      <c r="D5" s="9" t="s">
        <v>29</v>
      </c>
      <c r="E5" s="9" t="s">
        <v>30</v>
      </c>
      <c r="F5" s="7" t="s">
        <v>19</v>
      </c>
      <c r="G5" s="9" t="n">
        <v>2</v>
      </c>
      <c r="H5" s="9" t="s">
        <v>124</v>
      </c>
    </row>
    <row r="6" customFormat="false" ht="15" hidden="false" customHeight="false" outlineLevel="0" collapsed="false">
      <c r="A6" s="10"/>
      <c r="B6" s="10"/>
      <c r="C6" s="10"/>
      <c r="D6" s="10" t="s">
        <v>33</v>
      </c>
      <c r="E6" s="5" t="s">
        <v>34</v>
      </c>
      <c r="F6" s="5" t="s">
        <v>27</v>
      </c>
      <c r="G6" s="10" t="n">
        <v>5</v>
      </c>
      <c r="H6" s="10" t="s">
        <v>125</v>
      </c>
    </row>
    <row r="7" customFormat="false" ht="15" hidden="false" customHeight="false" outlineLevel="0" collapsed="false">
      <c r="A7" s="9"/>
      <c r="B7" s="9"/>
      <c r="C7" s="9"/>
      <c r="D7" s="9" t="s">
        <v>37</v>
      </c>
      <c r="E7" s="9" t="s">
        <v>38</v>
      </c>
      <c r="F7" s="7" t="s">
        <v>27</v>
      </c>
      <c r="G7" s="9" t="n">
        <v>4</v>
      </c>
      <c r="H7" s="9" t="s">
        <v>126</v>
      </c>
    </row>
    <row r="8" customFormat="false" ht="23.85" hidden="false" customHeight="false" outlineLevel="0" collapsed="false">
      <c r="A8" s="10" t="s">
        <v>127</v>
      </c>
      <c r="B8" s="10" t="s">
        <v>128</v>
      </c>
      <c r="C8" s="5" t="s">
        <v>129</v>
      </c>
      <c r="D8" s="10" t="s">
        <v>43</v>
      </c>
      <c r="E8" s="5" t="s">
        <v>44</v>
      </c>
      <c r="F8" s="5" t="s">
        <v>27</v>
      </c>
      <c r="G8" s="10" t="n">
        <v>8</v>
      </c>
      <c r="H8" s="5" t="s">
        <v>130</v>
      </c>
    </row>
    <row r="9" customFormat="false" ht="23.85" hidden="false" customHeight="false" outlineLevel="0" collapsed="false">
      <c r="A9" s="9"/>
      <c r="B9" s="9"/>
      <c r="C9" s="9"/>
      <c r="D9" s="9" t="s">
        <v>46</v>
      </c>
      <c r="E9" s="9" t="s">
        <v>47</v>
      </c>
      <c r="F9" s="7" t="s">
        <v>27</v>
      </c>
      <c r="G9" s="9" t="n">
        <v>6</v>
      </c>
      <c r="H9" s="9" t="s">
        <v>131</v>
      </c>
    </row>
    <row r="10" customFormat="false" ht="23.85" hidden="false" customHeight="false" outlineLevel="0" collapsed="false">
      <c r="A10" s="10" t="s">
        <v>132</v>
      </c>
      <c r="B10" s="10" t="s">
        <v>133</v>
      </c>
      <c r="C10" s="10" t="s">
        <v>134</v>
      </c>
      <c r="D10" s="10" t="s">
        <v>49</v>
      </c>
      <c r="E10" s="10" t="s">
        <v>50</v>
      </c>
      <c r="F10" s="10" t="s">
        <v>51</v>
      </c>
      <c r="G10" s="10" t="n">
        <v>5</v>
      </c>
      <c r="H10" s="10" t="s">
        <v>135</v>
      </c>
    </row>
    <row r="11" customFormat="false" ht="15" hidden="false" customHeight="false" outlineLevel="0" collapsed="false">
      <c r="A11" s="9"/>
      <c r="B11" s="9"/>
      <c r="C11" s="9"/>
      <c r="D11" s="9" t="s">
        <v>54</v>
      </c>
      <c r="E11" s="9" t="s">
        <v>55</v>
      </c>
      <c r="F11" s="9" t="s">
        <v>51</v>
      </c>
      <c r="G11" s="9" t="n">
        <v>6</v>
      </c>
      <c r="H11" s="9" t="s">
        <v>136</v>
      </c>
    </row>
    <row r="12" customFormat="false" ht="23.85" hidden="false" customHeight="false" outlineLevel="0" collapsed="false">
      <c r="A12" s="10"/>
      <c r="B12" s="10"/>
      <c r="C12" s="10"/>
      <c r="D12" s="10" t="s">
        <v>57</v>
      </c>
      <c r="E12" s="10" t="s">
        <v>58</v>
      </c>
      <c r="F12" s="10" t="s">
        <v>51</v>
      </c>
      <c r="G12" s="10" t="n">
        <v>4</v>
      </c>
      <c r="H12" s="10" t="s">
        <v>137</v>
      </c>
    </row>
    <row r="13" customFormat="false" ht="15" hidden="false" customHeight="false" outlineLevel="0" collapsed="false">
      <c r="A13" s="9"/>
      <c r="B13" s="9"/>
      <c r="C13" s="9"/>
      <c r="D13" s="9" t="s">
        <v>60</v>
      </c>
      <c r="E13" s="9" t="s">
        <v>61</v>
      </c>
      <c r="F13" s="7" t="s">
        <v>27</v>
      </c>
      <c r="G13" s="9" t="n">
        <v>5</v>
      </c>
      <c r="H13" s="9" t="s">
        <v>138</v>
      </c>
    </row>
    <row r="14" customFormat="false" ht="23.85" hidden="false" customHeight="false" outlineLevel="0" collapsed="false">
      <c r="A14" s="10" t="s">
        <v>139</v>
      </c>
      <c r="B14" s="10" t="s">
        <v>140</v>
      </c>
      <c r="C14" s="10" t="s">
        <v>141</v>
      </c>
      <c r="D14" s="10" t="s">
        <v>63</v>
      </c>
      <c r="E14" s="10" t="s">
        <v>64</v>
      </c>
      <c r="F14" s="5" t="s">
        <v>27</v>
      </c>
      <c r="G14" s="10" t="n">
        <v>6</v>
      </c>
      <c r="H14" s="10" t="s">
        <v>142</v>
      </c>
    </row>
    <row r="15" customFormat="false" ht="15" hidden="false" customHeight="false" outlineLevel="0" collapsed="false">
      <c r="A15" s="9"/>
      <c r="B15" s="9"/>
      <c r="C15" s="9"/>
      <c r="D15" s="9" t="s">
        <v>67</v>
      </c>
      <c r="E15" s="9" t="s">
        <v>68</v>
      </c>
      <c r="F15" s="7" t="s">
        <v>27</v>
      </c>
      <c r="G15" s="9" t="n">
        <v>3</v>
      </c>
      <c r="H15" s="7" t="s">
        <v>143</v>
      </c>
    </row>
    <row r="16" customFormat="false" ht="15" hidden="false" customHeight="false" outlineLevel="0" collapsed="false">
      <c r="A16" s="10"/>
      <c r="B16" s="10"/>
      <c r="C16" s="10"/>
      <c r="D16" s="10" t="s">
        <v>72</v>
      </c>
      <c r="E16" s="10" t="s">
        <v>73</v>
      </c>
      <c r="F16" s="5" t="s">
        <v>27</v>
      </c>
      <c r="G16" s="10" t="n">
        <v>6</v>
      </c>
      <c r="H16" s="10" t="s">
        <v>144</v>
      </c>
    </row>
    <row r="17" customFormat="false" ht="15" hidden="false" customHeight="false" outlineLevel="0" collapsed="false">
      <c r="A17" s="9"/>
      <c r="B17" s="9"/>
      <c r="C17" s="9"/>
      <c r="D17" s="9" t="s">
        <v>75</v>
      </c>
      <c r="E17" s="9" t="s">
        <v>76</v>
      </c>
      <c r="F17" s="7" t="s">
        <v>77</v>
      </c>
      <c r="G17" s="9" t="n">
        <v>10</v>
      </c>
      <c r="H17" s="7" t="s">
        <v>145</v>
      </c>
    </row>
    <row r="18" customFormat="false" ht="23.85" hidden="false" customHeight="false" outlineLevel="0" collapsed="false">
      <c r="A18" s="10" t="s">
        <v>146</v>
      </c>
      <c r="B18" s="10" t="s">
        <v>147</v>
      </c>
      <c r="C18" s="5" t="s">
        <v>148</v>
      </c>
      <c r="D18" s="10" t="s">
        <v>79</v>
      </c>
      <c r="E18" s="5" t="s">
        <v>80</v>
      </c>
      <c r="F18" s="5" t="s">
        <v>27</v>
      </c>
      <c r="G18" s="10" t="n">
        <v>4</v>
      </c>
      <c r="H18" s="5" t="s">
        <v>149</v>
      </c>
    </row>
    <row r="19" customFormat="false" ht="15" hidden="false" customHeight="false" outlineLevel="0" collapsed="false">
      <c r="A19" s="9"/>
      <c r="B19" s="9"/>
      <c r="C19" s="9"/>
      <c r="D19" s="9" t="s">
        <v>83</v>
      </c>
      <c r="E19" s="7" t="s">
        <v>84</v>
      </c>
      <c r="F19" s="7" t="s">
        <v>27</v>
      </c>
      <c r="G19" s="9" t="n">
        <v>4</v>
      </c>
      <c r="H19" s="9" t="s">
        <v>150</v>
      </c>
    </row>
    <row r="20" customFormat="false" ht="15" hidden="false" customHeight="false" outlineLevel="0" collapsed="false">
      <c r="A20" s="10"/>
      <c r="B20" s="10"/>
      <c r="C20" s="10"/>
      <c r="D20" s="10" t="s">
        <v>88</v>
      </c>
      <c r="E20" s="5" t="s">
        <v>89</v>
      </c>
      <c r="F20" s="5" t="s">
        <v>90</v>
      </c>
      <c r="G20" s="10" t="n">
        <v>5</v>
      </c>
      <c r="H20" s="10" t="s">
        <v>151</v>
      </c>
    </row>
    <row r="21" customFormat="false" ht="15" hidden="false" customHeight="false" outlineLevel="0" collapsed="false">
      <c r="A21" s="9"/>
      <c r="B21" s="9"/>
      <c r="C21" s="9"/>
      <c r="D21" s="9" t="s">
        <v>92</v>
      </c>
      <c r="E21" s="7" t="s">
        <v>93</v>
      </c>
      <c r="F21" s="9" t="s">
        <v>94</v>
      </c>
      <c r="G21" s="9" t="n">
        <v>5</v>
      </c>
      <c r="H21" s="9" t="s">
        <v>152</v>
      </c>
    </row>
    <row r="22" customFormat="false" ht="15" hidden="false" customHeight="false" outlineLevel="0" collapsed="false">
      <c r="A22" s="10"/>
      <c r="B22" s="10"/>
      <c r="C22" s="10"/>
      <c r="D22" s="10" t="s">
        <v>96</v>
      </c>
      <c r="E22" s="5" t="s">
        <v>97</v>
      </c>
      <c r="F22" s="10" t="s">
        <v>94</v>
      </c>
      <c r="G22" s="10" t="n">
        <v>3</v>
      </c>
      <c r="H22" s="10" t="s">
        <v>153</v>
      </c>
    </row>
    <row r="23" customFormat="false" ht="15" hidden="false" customHeight="false" outlineLevel="0" collapsed="false">
      <c r="A23" s="9"/>
      <c r="B23" s="9"/>
      <c r="C23" s="9"/>
      <c r="D23" s="9" t="s">
        <v>100</v>
      </c>
      <c r="E23" s="7" t="s">
        <v>101</v>
      </c>
      <c r="F23" s="7" t="s">
        <v>102</v>
      </c>
      <c r="G23" s="9" t="n">
        <v>3</v>
      </c>
      <c r="H23" s="9" t="s">
        <v>154</v>
      </c>
    </row>
    <row r="24" customFormat="false" ht="15" hidden="false" customHeight="false" outlineLevel="0" collapsed="false">
      <c r="A24" s="10"/>
      <c r="B24" s="10"/>
      <c r="C24" s="10"/>
      <c r="D24" s="10" t="s">
        <v>104</v>
      </c>
      <c r="E24" s="10" t="s">
        <v>105</v>
      </c>
      <c r="F24" s="10" t="s">
        <v>13</v>
      </c>
      <c r="G24" s="10" t="n">
        <v>2</v>
      </c>
      <c r="H24" s="10" t="s">
        <v>155</v>
      </c>
    </row>
    <row r="25" customFormat="false" ht="15" hidden="false" customHeight="false" outlineLevel="0" collapsed="false">
      <c r="A25" s="9"/>
      <c r="B25" s="9"/>
      <c r="C25" s="9"/>
      <c r="D25" s="9" t="s">
        <v>108</v>
      </c>
      <c r="E25" s="7" t="s">
        <v>109</v>
      </c>
      <c r="F25" s="9" t="s">
        <v>23</v>
      </c>
      <c r="G25" s="9" t="n">
        <v>3</v>
      </c>
      <c r="H25" s="7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9" min="3" style="0" width="11"/>
  </cols>
  <sheetData>
    <row r="1" customFormat="false" ht="15" hidden="false" customHeight="false" outlineLevel="0" collapsed="false">
      <c r="A1" s="2" t="s">
        <v>3</v>
      </c>
      <c r="B1" s="2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2" t="s">
        <v>163</v>
      </c>
    </row>
    <row r="2" customFormat="false" ht="15" hidden="false" customHeight="false" outlineLevel="0" collapsed="false">
      <c r="A2" s="10" t="s">
        <v>13</v>
      </c>
      <c r="B2" s="11" t="s">
        <v>164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2</v>
      </c>
    </row>
    <row r="3" customFormat="false" ht="15" hidden="false" customHeight="false" outlineLevel="0" collapsed="false">
      <c r="A3" s="7" t="s">
        <v>165</v>
      </c>
      <c r="B3" s="8" t="s">
        <v>166</v>
      </c>
      <c r="C3" s="6" t="n">
        <v>4</v>
      </c>
      <c r="D3" s="6" t="n">
        <v>4.5</v>
      </c>
      <c r="E3" s="6" t="n">
        <v>7</v>
      </c>
      <c r="F3" s="6" t="n">
        <v>5.5</v>
      </c>
      <c r="G3" s="6" t="n">
        <v>8</v>
      </c>
      <c r="H3" s="6" t="n">
        <v>4</v>
      </c>
    </row>
    <row r="4" customFormat="false" ht="15" hidden="false" customHeight="false" outlineLevel="0" collapsed="false">
      <c r="A4" s="5" t="s">
        <v>167</v>
      </c>
      <c r="B4" s="11" t="s">
        <v>166</v>
      </c>
      <c r="C4" s="3" t="n">
        <v>4</v>
      </c>
      <c r="D4" s="3" t="n">
        <v>4.5</v>
      </c>
      <c r="E4" s="3" t="n">
        <v>7</v>
      </c>
      <c r="F4" s="3" t="n">
        <v>5.5</v>
      </c>
      <c r="G4" s="3" t="n">
        <v>8</v>
      </c>
      <c r="H4" s="3" t="n">
        <v>4</v>
      </c>
    </row>
    <row r="5" customFormat="false" ht="15" hidden="false" customHeight="false" outlineLevel="0" collapsed="false">
      <c r="A5" s="9" t="s">
        <v>168</v>
      </c>
      <c r="B5" s="6" t="s">
        <v>169</v>
      </c>
      <c r="C5" s="6" t="n">
        <v>0</v>
      </c>
      <c r="D5" s="6" t="n">
        <v>0</v>
      </c>
      <c r="E5" s="6" t="n">
        <v>0</v>
      </c>
      <c r="F5" s="6" t="n">
        <v>8</v>
      </c>
      <c r="G5" s="6" t="n">
        <v>0</v>
      </c>
      <c r="H5" s="6" t="n">
        <v>1.5</v>
      </c>
    </row>
    <row r="6" customFormat="false" ht="15" hidden="false" customHeight="false" outlineLevel="0" collapsed="false">
      <c r="A6" s="10" t="s">
        <v>170</v>
      </c>
      <c r="B6" s="3" t="s">
        <v>169</v>
      </c>
      <c r="C6" s="3" t="n">
        <v>0</v>
      </c>
      <c r="D6" s="3" t="n">
        <v>0</v>
      </c>
      <c r="E6" s="3" t="n">
        <v>0</v>
      </c>
      <c r="F6" s="3" t="n">
        <v>8</v>
      </c>
      <c r="G6" s="3" t="n">
        <v>0</v>
      </c>
      <c r="H6" s="3" t="n">
        <v>1.5</v>
      </c>
    </row>
    <row r="7" customFormat="false" ht="15" hidden="false" customHeight="false" outlineLevel="0" collapsed="false">
      <c r="A7" s="7" t="s">
        <v>77</v>
      </c>
      <c r="B7" s="8" t="s">
        <v>171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10</v>
      </c>
      <c r="H7" s="6" t="n">
        <v>0</v>
      </c>
    </row>
    <row r="8" customFormat="false" ht="15" hidden="false" customHeight="false" outlineLevel="0" collapsed="false">
      <c r="A8" s="10" t="s">
        <v>23</v>
      </c>
      <c r="B8" s="3" t="s">
        <v>172</v>
      </c>
      <c r="C8" s="3" t="n">
        <v>4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</v>
      </c>
    </row>
    <row r="9" customFormat="false" ht="15" hidden="false" customHeight="false" outlineLevel="0" collapsed="false">
      <c r="A9" s="9" t="s">
        <v>94</v>
      </c>
      <c r="B9" s="6" t="s">
        <v>173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11</v>
      </c>
    </row>
    <row r="10" customFormat="false" ht="15" hidden="false" customHeight="false" outlineLevel="0" collapsed="false">
      <c r="A10" s="5" t="s">
        <v>19</v>
      </c>
      <c r="B10" s="11" t="s">
        <v>174</v>
      </c>
      <c r="C10" s="3" t="n">
        <v>5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</row>
    <row r="11" customFormat="false" ht="15" hidden="false" customHeight="false" outlineLevel="0" collapsed="false">
      <c r="A11" s="7" t="s">
        <v>102</v>
      </c>
      <c r="B11" s="8" t="s">
        <v>175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10"/>
    <col collapsed="false" customWidth="true" hidden="false" outlineLevel="0" max="7" min="7" style="0" width="25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176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182</v>
      </c>
      <c r="H1" s="2" t="s">
        <v>3</v>
      </c>
    </row>
    <row r="2" customFormat="false" ht="23.85" hidden="false" customHeight="false" outlineLevel="0" collapsed="false">
      <c r="A2" s="3" t="s">
        <v>183</v>
      </c>
      <c r="B2" s="3" t="s">
        <v>184</v>
      </c>
      <c r="C2" s="11" t="s">
        <v>185</v>
      </c>
      <c r="D2" s="11" t="s">
        <v>186</v>
      </c>
      <c r="E2" s="11" t="s">
        <v>187</v>
      </c>
      <c r="F2" s="5" t="s">
        <v>188</v>
      </c>
      <c r="G2" s="10" t="s">
        <v>189</v>
      </c>
      <c r="H2" s="10" t="s">
        <v>51</v>
      </c>
    </row>
    <row r="3" customFormat="false" ht="15" hidden="false" customHeight="false" outlineLevel="0" collapsed="false">
      <c r="A3" s="6" t="s">
        <v>190</v>
      </c>
      <c r="B3" s="6" t="s">
        <v>191</v>
      </c>
      <c r="C3" s="8" t="s">
        <v>192</v>
      </c>
      <c r="D3" s="8" t="s">
        <v>193</v>
      </c>
      <c r="E3" s="8" t="s">
        <v>187</v>
      </c>
      <c r="F3" s="7" t="s">
        <v>186</v>
      </c>
      <c r="G3" s="9" t="s">
        <v>194</v>
      </c>
      <c r="H3" s="7" t="s">
        <v>19</v>
      </c>
    </row>
    <row r="4" customFormat="false" ht="15" hidden="false" customHeight="false" outlineLevel="0" collapsed="false">
      <c r="A4" s="3" t="s">
        <v>195</v>
      </c>
      <c r="B4" s="3" t="s">
        <v>196</v>
      </c>
      <c r="C4" s="11" t="s">
        <v>197</v>
      </c>
      <c r="D4" s="11" t="s">
        <v>186</v>
      </c>
      <c r="E4" s="11" t="s">
        <v>186</v>
      </c>
      <c r="F4" s="5" t="s">
        <v>186</v>
      </c>
      <c r="G4" s="5" t="s">
        <v>198</v>
      </c>
      <c r="H4" s="5" t="s">
        <v>27</v>
      </c>
    </row>
    <row r="5" customFormat="false" ht="15" hidden="false" customHeight="false" outlineLevel="0" collapsed="false">
      <c r="A5" s="6" t="s">
        <v>199</v>
      </c>
      <c r="B5" s="8" t="s">
        <v>200</v>
      </c>
      <c r="C5" s="8" t="s">
        <v>201</v>
      </c>
      <c r="D5" s="8" t="s">
        <v>186</v>
      </c>
      <c r="E5" s="8" t="s">
        <v>186</v>
      </c>
      <c r="F5" s="7" t="s">
        <v>186</v>
      </c>
      <c r="G5" s="7" t="s">
        <v>202</v>
      </c>
      <c r="H5" s="9" t="s">
        <v>13</v>
      </c>
    </row>
    <row r="6" customFormat="false" ht="15" hidden="false" customHeight="false" outlineLevel="0" collapsed="false">
      <c r="A6" s="3" t="s">
        <v>203</v>
      </c>
      <c r="B6" s="11" t="s">
        <v>204</v>
      </c>
      <c r="C6" s="11" t="s">
        <v>205</v>
      </c>
      <c r="D6" s="11" t="s">
        <v>193</v>
      </c>
      <c r="E6" s="11" t="s">
        <v>187</v>
      </c>
      <c r="F6" s="5" t="s">
        <v>186</v>
      </c>
      <c r="G6" s="5" t="s">
        <v>206</v>
      </c>
      <c r="H6" s="5" t="s">
        <v>207</v>
      </c>
    </row>
    <row r="7" customFormat="false" ht="15" hidden="false" customHeight="false" outlineLevel="0" collapsed="false">
      <c r="A7" s="6" t="s">
        <v>208</v>
      </c>
      <c r="B7" s="8" t="s">
        <v>209</v>
      </c>
      <c r="C7" s="8" t="s">
        <v>210</v>
      </c>
      <c r="D7" s="8" t="s">
        <v>186</v>
      </c>
      <c r="E7" s="8" t="s">
        <v>187</v>
      </c>
      <c r="F7" s="7" t="s">
        <v>188</v>
      </c>
      <c r="G7" s="9" t="s">
        <v>211</v>
      </c>
      <c r="H7" s="7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2026-04-10T08:17:39Z</dcterms:created>
  <dc:creator>openpyxl</dc:creator>
  <dc:description/>
  <dc:language>en-US</dc:language>
  <cp:lastModifiedBy/>
  <dcterms:modified xsi:type="dcterms:W3CDTF">2026-04-10T08:17:39Z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